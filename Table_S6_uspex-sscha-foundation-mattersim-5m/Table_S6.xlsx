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ciencework\Projects\Skoltech\CSP\uspex2023\LaH10\sscha\150GPa\11at_npt_mattersim\"/>
    </mc:Choice>
  </mc:AlternateContent>
  <xr:revisionPtr revIDLastSave="0" documentId="13_ncr:1_{0FEA3246-3B7B-4F23-8ED1-E52482E60534}" xr6:coauthVersionLast="47" xr6:coauthVersionMax="47" xr10:uidLastSave="{00000000-0000-0000-0000-000000000000}"/>
  <bookViews>
    <workbookView xWindow="-110" yWindow="-110" windowWidth="19420" windowHeight="11500" activeTab="1" xr2:uid="{80024E1B-65C7-4CE3-80A1-057080F76B94}"/>
  </bookViews>
  <sheets>
    <sheet name="Individuals" sheetId="3" r:id="rId1"/>
    <sheet name="Tabl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O17" i="3"/>
  <c r="O18" i="3"/>
  <c r="O24" i="3"/>
  <c r="O33" i="3"/>
  <c r="O34" i="3"/>
  <c r="O40" i="3"/>
  <c r="O49" i="3"/>
  <c r="O50" i="3"/>
  <c r="O56" i="3"/>
  <c r="O65" i="3"/>
  <c r="O66" i="3"/>
  <c r="O72" i="3"/>
  <c r="O81" i="3"/>
  <c r="O82" i="3"/>
  <c r="O88" i="3"/>
  <c r="O97" i="3"/>
  <c r="O98" i="3"/>
  <c r="O104" i="3"/>
  <c r="O113" i="3"/>
  <c r="O114" i="3"/>
  <c r="O120" i="3"/>
  <c r="O129" i="3"/>
  <c r="O130" i="3"/>
  <c r="O136" i="3"/>
  <c r="O145" i="3"/>
  <c r="O146" i="3"/>
  <c r="O152" i="3"/>
  <c r="O161" i="3"/>
  <c r="O162" i="3"/>
  <c r="O168" i="3"/>
  <c r="N3" i="3"/>
  <c r="O3" i="3" s="1"/>
  <c r="N4" i="3"/>
  <c r="O4" i="3" s="1"/>
  <c r="N5" i="3"/>
  <c r="N6" i="3"/>
  <c r="N7" i="3"/>
  <c r="O7" i="3" s="1"/>
  <c r="N8" i="3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N18" i="3"/>
  <c r="N19" i="3"/>
  <c r="O19" i="3" s="1"/>
  <c r="N20" i="3"/>
  <c r="O20" i="3" s="1"/>
  <c r="N21" i="3"/>
  <c r="N22" i="3"/>
  <c r="N23" i="3"/>
  <c r="O23" i="3" s="1"/>
  <c r="N24" i="3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N34" i="3"/>
  <c r="N35" i="3"/>
  <c r="O35" i="3" s="1"/>
  <c r="N36" i="3"/>
  <c r="O36" i="3" s="1"/>
  <c r="N37" i="3"/>
  <c r="N38" i="3"/>
  <c r="N39" i="3"/>
  <c r="O39" i="3" s="1"/>
  <c r="N40" i="3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N50" i="3"/>
  <c r="N51" i="3"/>
  <c r="O51" i="3" s="1"/>
  <c r="N52" i="3"/>
  <c r="O52" i="3" s="1"/>
  <c r="N53" i="3"/>
  <c r="N54" i="3"/>
  <c r="N55" i="3"/>
  <c r="O55" i="3" s="1"/>
  <c r="N56" i="3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N66" i="3"/>
  <c r="N67" i="3"/>
  <c r="O67" i="3" s="1"/>
  <c r="N68" i="3"/>
  <c r="O68" i="3" s="1"/>
  <c r="N69" i="3"/>
  <c r="N70" i="3"/>
  <c r="N71" i="3"/>
  <c r="O71" i="3" s="1"/>
  <c r="N72" i="3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N82" i="3"/>
  <c r="N83" i="3"/>
  <c r="O83" i="3" s="1"/>
  <c r="N84" i="3"/>
  <c r="O84" i="3" s="1"/>
  <c r="N85" i="3"/>
  <c r="N86" i="3"/>
  <c r="N87" i="3"/>
  <c r="O87" i="3" s="1"/>
  <c r="N88" i="3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N98" i="3"/>
  <c r="N99" i="3"/>
  <c r="O99" i="3" s="1"/>
  <c r="N100" i="3"/>
  <c r="O100" i="3" s="1"/>
  <c r="N101" i="3"/>
  <c r="N102" i="3"/>
  <c r="N103" i="3"/>
  <c r="O103" i="3" s="1"/>
  <c r="N104" i="3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N114" i="3"/>
  <c r="N115" i="3"/>
  <c r="O115" i="3" s="1"/>
  <c r="N116" i="3"/>
  <c r="O116" i="3" s="1"/>
  <c r="N117" i="3"/>
  <c r="N118" i="3"/>
  <c r="N119" i="3"/>
  <c r="O119" i="3" s="1"/>
  <c r="N120" i="3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N130" i="3"/>
  <c r="N131" i="3"/>
  <c r="O131" i="3" s="1"/>
  <c r="N132" i="3"/>
  <c r="O132" i="3" s="1"/>
  <c r="N133" i="3"/>
  <c r="N134" i="3"/>
  <c r="N135" i="3"/>
  <c r="O135" i="3" s="1"/>
  <c r="N136" i="3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N146" i="3"/>
  <c r="N147" i="3"/>
  <c r="O147" i="3" s="1"/>
  <c r="N148" i="3"/>
  <c r="O148" i="3" s="1"/>
  <c r="N149" i="3"/>
  <c r="N150" i="3"/>
  <c r="N151" i="3"/>
  <c r="O151" i="3" s="1"/>
  <c r="N152" i="3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N162" i="3"/>
  <c r="N163" i="3"/>
  <c r="O163" i="3" s="1"/>
  <c r="N164" i="3"/>
  <c r="O164" i="3" s="1"/>
  <c r="N165" i="3"/>
  <c r="N166" i="3"/>
  <c r="N167" i="3"/>
  <c r="O167" i="3" s="1"/>
  <c r="N168" i="3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2" i="3"/>
  <c r="O2" i="3" s="1"/>
  <c r="G3" i="3"/>
  <c r="G4" i="3"/>
  <c r="G5" i="3"/>
  <c r="O5" i="3" s="1"/>
  <c r="G6" i="3"/>
  <c r="O6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O21" i="3" s="1"/>
  <c r="G22" i="3"/>
  <c r="O22" i="3" s="1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O37" i="3" s="1"/>
  <c r="G38" i="3"/>
  <c r="O38" i="3" s="1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O53" i="3" s="1"/>
  <c r="G54" i="3"/>
  <c r="O54" i="3" s="1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O69" i="3" s="1"/>
  <c r="G70" i="3"/>
  <c r="O70" i="3" s="1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O85" i="3" s="1"/>
  <c r="G86" i="3"/>
  <c r="O86" i="3" s="1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O101" i="3" s="1"/>
  <c r="G102" i="3"/>
  <c r="O102" i="3" s="1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O117" i="3" s="1"/>
  <c r="G118" i="3"/>
  <c r="O118" i="3" s="1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O133" i="3" s="1"/>
  <c r="G134" i="3"/>
  <c r="O134" i="3" s="1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O149" i="3" s="1"/>
  <c r="G150" i="3"/>
  <c r="O150" i="3" s="1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O165" i="3" s="1"/>
  <c r="G166" i="3"/>
  <c r="O166" i="3" s="1"/>
  <c r="G167" i="3"/>
  <c r="G168" i="3"/>
  <c r="G169" i="3"/>
  <c r="G170" i="3"/>
  <c r="G171" i="3"/>
  <c r="G172" i="3"/>
  <c r="G173" i="3"/>
  <c r="G174" i="3"/>
  <c r="G175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2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<sst xmlns="http://schemas.openxmlformats.org/spreadsheetml/2006/main" count="1064" uniqueCount="115">
  <si>
    <t>ID</t>
  </si>
  <si>
    <t>Immm (71)</t>
  </si>
  <si>
    <t>Fm-3m   (225)</t>
  </si>
  <si>
    <t>R-3m (166)</t>
  </si>
  <si>
    <t>P-1 (2)</t>
  </si>
  <si>
    <t>C2/m (12)</t>
  </si>
  <si>
    <t>C2 (5)</t>
  </si>
  <si>
    <t>I4/mmm (139)</t>
  </si>
  <si>
    <t>Cmmm (65)</t>
  </si>
  <si>
    <t>Cmmm    (65)</t>
  </si>
  <si>
    <t>Cm (8)</t>
  </si>
  <si>
    <t>P1 (1)</t>
  </si>
  <si>
    <t>SYMMETRY after and (before) SSCHA relaxation at 300 K</t>
  </si>
  <si>
    <t>Volume after and (before) SSCHA at 300 K (A^3/atom)</t>
  </si>
  <si>
    <t>Origin</t>
  </si>
  <si>
    <t>Composition</t>
  </si>
  <si>
    <t>Enthalpy at 0 K (eV/f.u.)</t>
  </si>
  <si>
    <t>UNRELAXED SYMMETRY  (N)</t>
  </si>
  <si>
    <t>Free energy at 300 K (eV/f.u.)</t>
  </si>
  <si>
    <t>Volume per cell  at 300 K (A^3)</t>
  </si>
  <si>
    <t>SYMMETRY (N)</t>
  </si>
  <si>
    <t>Heredity</t>
  </si>
  <si>
    <t>H: 10  La: 1</t>
  </si>
  <si>
    <t>RandSym</t>
  </si>
  <si>
    <t>Softmodemutation</t>
  </si>
  <si>
    <t>Fm-3m (225)</t>
  </si>
  <si>
    <t>Fmmm (69)</t>
  </si>
  <si>
    <t>I-4m2 (119)</t>
  </si>
  <si>
    <t>P4/mmm (123)</t>
  </si>
  <si>
    <t>P6/mmm (191)</t>
  </si>
  <si>
    <t>P-62m (189)</t>
  </si>
  <si>
    <t>C2/m    (12)</t>
  </si>
  <si>
    <t>Immm    (71)</t>
  </si>
  <si>
    <t>R3m (160)</t>
  </si>
  <si>
    <t>R3m     (160)</t>
  </si>
  <si>
    <t>R32 (155)</t>
  </si>
  <si>
    <t>Amm2 (38)</t>
  </si>
  <si>
    <t>Amm2    (38)</t>
  </si>
  <si>
    <t>P2/m (10)</t>
  </si>
  <si>
    <t>P2/m    (10)</t>
  </si>
  <si>
    <t>C222    (21)</t>
  </si>
  <si>
    <t>P4/mmm  (123)</t>
  </si>
  <si>
    <t>Enthalpy at 0 K (eV/atom)</t>
  </si>
  <si>
    <t>UNRELAXED Volume (A^3/atom)</t>
  </si>
  <si>
    <t>UNRELAXED Volume (A^3/f.u.)</t>
  </si>
  <si>
    <t>Uncorrected Gibbs free energy after SSCHA relaxation at 300 K (eV/atom)</t>
  </si>
  <si>
    <t>Volume per cell  at 300 K (A^3/atom)</t>
  </si>
  <si>
    <t>Fm-3m   (225) (Immm (71))</t>
  </si>
  <si>
    <t>Fm-3m   (225) (Fm-3m (225))</t>
  </si>
  <si>
    <t>Fm-3m   (225) (R-3m (166))</t>
  </si>
  <si>
    <t>Fm-3m   (225) (Cm (8))</t>
  </si>
  <si>
    <t>Fm-3m   (225) (Fmmm (69))</t>
  </si>
  <si>
    <t>Fm-3m   (225) (I-4m2 (119))</t>
  </si>
  <si>
    <t>Cmmm    (65) (P4/mmm (123))</t>
  </si>
  <si>
    <t>Cmmm    (65) (Cmmm (65))</t>
  </si>
  <si>
    <t>Cmmm    (65) (P6/mmm (191))</t>
  </si>
  <si>
    <t>Cmmm    (65) (P-62m (189))</t>
  </si>
  <si>
    <t>Cmmm    (65) (C2 (5))</t>
  </si>
  <si>
    <t>Cmmm    (65) (P1 (1))</t>
  </si>
  <si>
    <t>C2/m    (12) (C2/m (12))</t>
  </si>
  <si>
    <t>C2/m    (12) (P-1 (2))</t>
  </si>
  <si>
    <t>Immm    (71) (Immm (71))</t>
  </si>
  <si>
    <t>R3m     (160) (R3m (160))</t>
  </si>
  <si>
    <t>C2/m    (12) (I4/mmm (139))</t>
  </si>
  <si>
    <t>C2/m    (12) (P6/mmm (191))</t>
  </si>
  <si>
    <t>C2/m    (12) (R32 (155))</t>
  </si>
  <si>
    <t>C2/m    (12) (R3m (160))</t>
  </si>
  <si>
    <t>Amm2    (38) (Amm2 (38))</t>
  </si>
  <si>
    <t>P2/m    (10) (P2/m (10))</t>
  </si>
  <si>
    <t>C2/m    (12) (Amm2 (38))</t>
  </si>
  <si>
    <t>C222    (21) (C2 (5))</t>
  </si>
  <si>
    <t>P4/mmm  (123) (Cm (8))</t>
  </si>
  <si>
    <t>3.121 (3.064)</t>
  </si>
  <si>
    <t>3.121 (3.062)</t>
  </si>
  <si>
    <t>3.121 (3.114)</t>
  </si>
  <si>
    <t>3.121 (3.123)</t>
  </si>
  <si>
    <t>3.121 (3.086)</t>
  </si>
  <si>
    <t>3.220 (3.212)</t>
  </si>
  <si>
    <t>3.219 (3.183)</t>
  </si>
  <si>
    <t>3.220 (3.183)</t>
  </si>
  <si>
    <t>3.219 (3.244)</t>
  </si>
  <si>
    <t>3.220 (3.247)</t>
  </si>
  <si>
    <t>3.219 (3.298)</t>
  </si>
  <si>
    <t>3.219 (3.192)</t>
  </si>
  <si>
    <t>3.219 (3.187)</t>
  </si>
  <si>
    <t>3.219 (3.182)</t>
  </si>
  <si>
    <t>3.219 (3.247)</t>
  </si>
  <si>
    <t>3.220 (3.182)</t>
  </si>
  <si>
    <t>3.182 (3.141)</t>
  </si>
  <si>
    <t>3.182 (3.142)</t>
  </si>
  <si>
    <t>3.182 (3.101)</t>
  </si>
  <si>
    <t>3.182 (3.099)</t>
  </si>
  <si>
    <t>3.209 (3.177)</t>
  </si>
  <si>
    <t>3.209 (3.169)</t>
  </si>
  <si>
    <t>3.196 (3.143)</t>
  </si>
  <si>
    <t>3.204 (3.431)</t>
  </si>
  <si>
    <t>3.204 (3.183)</t>
  </si>
  <si>
    <t>3.204 (3.197)</t>
  </si>
  <si>
    <t>3.246 (3.224)</t>
  </si>
  <si>
    <t>3.246 (3.195)</t>
  </si>
  <si>
    <t>3.247 (3.224)</t>
  </si>
  <si>
    <t>3.235 (3.210)</t>
  </si>
  <si>
    <t>3.235 (3.211)</t>
  </si>
  <si>
    <t>3.235 (3.209)</t>
  </si>
  <si>
    <t>3.235 (3.260)</t>
  </si>
  <si>
    <t>3.235 (3.174)</t>
  </si>
  <si>
    <t>3.205 (3.164)</t>
  </si>
  <si>
    <t>3.205 (3.150)</t>
  </si>
  <si>
    <t>3.202 (3.164)</t>
  </si>
  <si>
    <t>3.221 (3.186)</t>
  </si>
  <si>
    <t>3.221 (3.177)</t>
  </si>
  <si>
    <t>3.220 (3.177)</t>
  </si>
  <si>
    <t>3.228 (3.195)</t>
  </si>
  <si>
    <t>3.226 (3.185)</t>
  </si>
  <si>
    <t>3.245 (3.201)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</si>
</sst>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E8D9-8A18-471F-9F0D-38804B23F0D9}">
  <dimension ref="A1:O175"/>
  <sheetViews>
    <sheetView topLeftCell="D1" workbookViewId="0">
      <selection activeCell="O1" activeCellId="4" sqref="A1:A1048576 J1:J1048576 E1:E1048576 L1:L1048576 O1:O1048576"/>
    </sheetView>
  </sheetViews>
  <sheetFormatPr defaultRowHeight="14.5" x14ac:dyDescent="0.35"/>
  <cols>
    <col min="1" max="1" width="3.81640625" bestFit="1" customWidth="1"/>
    <col min="2" max="2" width="15.90625" bestFit="1" customWidth="1"/>
    <col min="3" max="3" width="9.54296875" bestFit="1" customWidth="1"/>
    <col min="4" max="5" width="11.6328125" customWidth="1"/>
    <col min="6" max="7" width="11.7265625" customWidth="1"/>
    <col min="8" max="8" width="13.81640625" customWidth="1"/>
    <col min="9" max="9" width="13.26953125" bestFit="1" customWidth="1"/>
    <col min="10" max="10" width="25.81640625" customWidth="1"/>
    <col min="11" max="11" width="11.90625" customWidth="1"/>
    <col min="12" max="12" width="9.90625" customWidth="1"/>
    <col min="13" max="14" width="12.54296875" customWidth="1"/>
    <col min="15" max="15" width="12.1796875" customWidth="1"/>
  </cols>
  <sheetData>
    <row r="1" spans="1:15" ht="116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42</v>
      </c>
      <c r="F1" s="1" t="s">
        <v>44</v>
      </c>
      <c r="G1" s="1" t="s">
        <v>43</v>
      </c>
      <c r="H1" s="1" t="s">
        <v>17</v>
      </c>
      <c r="I1" s="1" t="s">
        <v>20</v>
      </c>
      <c r="J1" s="1" t="s">
        <v>12</v>
      </c>
      <c r="K1" s="1" t="s">
        <v>18</v>
      </c>
      <c r="L1" s="1" t="s">
        <v>45</v>
      </c>
      <c r="M1" s="1" t="s">
        <v>19</v>
      </c>
      <c r="N1" s="1" t="s">
        <v>46</v>
      </c>
      <c r="O1" s="1" t="s">
        <v>13</v>
      </c>
    </row>
    <row r="2" spans="1:15" x14ac:dyDescent="0.35">
      <c r="A2">
        <v>95</v>
      </c>
      <c r="B2" t="s">
        <v>21</v>
      </c>
      <c r="C2" t="s">
        <v>22</v>
      </c>
      <c r="D2" s="2">
        <v>3.6850000000000001</v>
      </c>
      <c r="E2" s="2">
        <f>D2/11</f>
        <v>0.33500000000000002</v>
      </c>
      <c r="F2">
        <v>33.704999999999998</v>
      </c>
      <c r="G2" s="2">
        <f>F2/11</f>
        <v>3.064090909090909</v>
      </c>
      <c r="H2" t="s">
        <v>1</v>
      </c>
      <c r="I2" t="s">
        <v>2</v>
      </c>
      <c r="J2" t="str">
        <f>TEXT(I2,"0.000")&amp;" ("&amp;(TEXT(H2,"0.000")&amp;")")</f>
        <v>Fm-3m   (225) (Immm (71))</v>
      </c>
      <c r="K2">
        <v>6.0410000000000004</v>
      </c>
      <c r="L2" s="2">
        <f>K2/11</f>
        <v>0.54918181818181822</v>
      </c>
      <c r="M2" s="2">
        <v>34.331000000000003</v>
      </c>
      <c r="N2" s="2">
        <f>M2/11</f>
        <v>3.1210000000000004</v>
      </c>
      <c r="O2" t="str">
        <f>TEXT(N2,"0.000")&amp;" ("&amp;(TEXT(G2,"0.000")&amp;")")</f>
        <v>3.121 (3.064)</v>
      </c>
    </row>
    <row r="3" spans="1:15" x14ac:dyDescent="0.35">
      <c r="A3">
        <v>17</v>
      </c>
      <c r="B3" t="s">
        <v>23</v>
      </c>
      <c r="C3" t="s">
        <v>22</v>
      </c>
      <c r="D3" s="2">
        <v>3.6850000000000001</v>
      </c>
      <c r="E3" s="2">
        <f t="shared" ref="E3:E66" si="0">D3/11</f>
        <v>0.33500000000000002</v>
      </c>
      <c r="F3">
        <v>33.704999999999998</v>
      </c>
      <c r="G3" s="2">
        <f t="shared" ref="G3:G66" si="1">F3/11</f>
        <v>3.064090909090909</v>
      </c>
      <c r="H3" t="s">
        <v>1</v>
      </c>
      <c r="I3" t="s">
        <v>2</v>
      </c>
      <c r="J3" t="str">
        <f t="shared" ref="J3:J66" si="2">TEXT(I3,"0.000")&amp;" ("&amp;(TEXT(H3,"0.000")&amp;")")</f>
        <v>Fm-3m   (225) (Immm (71))</v>
      </c>
      <c r="K3">
        <v>6.0419999999999998</v>
      </c>
      <c r="L3" s="2">
        <f>K3/11</f>
        <v>0.54927272727272725</v>
      </c>
      <c r="M3" s="2">
        <v>34.33</v>
      </c>
      <c r="N3" s="2">
        <f t="shared" ref="N3:N66" si="3">M3/11</f>
        <v>3.1209090909090906</v>
      </c>
      <c r="O3" t="str">
        <f>TEXT(N3,"0.000")&amp;" ("&amp;(TEXT(G3,"0.000")&amp;")")</f>
        <v>3.121 (3.064)</v>
      </c>
    </row>
    <row r="4" spans="1:15" x14ac:dyDescent="0.35">
      <c r="A4">
        <v>108</v>
      </c>
      <c r="B4" t="s">
        <v>24</v>
      </c>
      <c r="C4" t="s">
        <v>22</v>
      </c>
      <c r="D4" s="2">
        <v>3.6850000000000001</v>
      </c>
      <c r="E4" s="2">
        <f t="shared" si="0"/>
        <v>0.33500000000000002</v>
      </c>
      <c r="F4">
        <v>33.683</v>
      </c>
      <c r="G4" s="2">
        <f t="shared" si="1"/>
        <v>3.0620909090909092</v>
      </c>
      <c r="H4" t="s">
        <v>25</v>
      </c>
      <c r="I4" t="s">
        <v>2</v>
      </c>
      <c r="J4" t="str">
        <f t="shared" si="2"/>
        <v>Fm-3m   (225) (Fm-3m (225))</v>
      </c>
      <c r="K4">
        <v>6.0419999999999998</v>
      </c>
      <c r="L4" s="2">
        <f>K4/11</f>
        <v>0.54927272727272725</v>
      </c>
      <c r="M4" s="2">
        <v>34.33</v>
      </c>
      <c r="N4" s="2">
        <f t="shared" si="3"/>
        <v>3.1209090909090906</v>
      </c>
      <c r="O4" t="str">
        <f>TEXT(N4,"0.000")&amp;" ("&amp;(TEXT(G4,"0.000")&amp;")")</f>
        <v>3.121 (3.062)</v>
      </c>
    </row>
    <row r="5" spans="1:15" x14ac:dyDescent="0.35">
      <c r="A5">
        <v>179</v>
      </c>
      <c r="B5" t="s">
        <v>24</v>
      </c>
      <c r="C5" t="s">
        <v>22</v>
      </c>
      <c r="D5" s="2">
        <v>3.6850000000000001</v>
      </c>
      <c r="E5" s="2">
        <f t="shared" si="0"/>
        <v>0.33500000000000002</v>
      </c>
      <c r="F5">
        <v>33.683999999999997</v>
      </c>
      <c r="G5" s="2">
        <f t="shared" si="1"/>
        <v>3.0621818181818181</v>
      </c>
      <c r="H5" t="s">
        <v>25</v>
      </c>
      <c r="I5" t="s">
        <v>2</v>
      </c>
      <c r="J5" t="str">
        <f t="shared" si="2"/>
        <v>Fm-3m   (225) (Fm-3m (225))</v>
      </c>
      <c r="K5">
        <v>6.0419999999999998</v>
      </c>
      <c r="L5" s="2">
        <f>K5/11</f>
        <v>0.54927272727272725</v>
      </c>
      <c r="M5" s="2">
        <v>34.329000000000001</v>
      </c>
      <c r="N5" s="2">
        <f t="shared" si="3"/>
        <v>3.1208181818181817</v>
      </c>
      <c r="O5" t="str">
        <f>TEXT(N5,"0.000")&amp;" ("&amp;(TEXT(G5,"0.000")&amp;")")</f>
        <v>3.121 (3.062)</v>
      </c>
    </row>
    <row r="6" spans="1:15" x14ac:dyDescent="0.35">
      <c r="A6">
        <v>182</v>
      </c>
      <c r="B6" t="s">
        <v>24</v>
      </c>
      <c r="C6" t="s">
        <v>22</v>
      </c>
      <c r="D6" s="2">
        <v>3.6850000000000001</v>
      </c>
      <c r="E6" s="2">
        <f t="shared" si="0"/>
        <v>0.33500000000000002</v>
      </c>
      <c r="F6">
        <v>33.704999999999998</v>
      </c>
      <c r="G6" s="2">
        <f t="shared" si="1"/>
        <v>3.064090909090909</v>
      </c>
      <c r="H6" t="s">
        <v>1</v>
      </c>
      <c r="I6" t="s">
        <v>2</v>
      </c>
      <c r="J6" t="str">
        <f t="shared" si="2"/>
        <v>Fm-3m   (225) (Immm (71))</v>
      </c>
      <c r="K6">
        <v>6.0419999999999998</v>
      </c>
      <c r="L6" s="2">
        <f>K6/11</f>
        <v>0.54927272727272725</v>
      </c>
      <c r="M6" s="2">
        <v>34.329000000000001</v>
      </c>
      <c r="N6" s="2">
        <f t="shared" si="3"/>
        <v>3.1208181818181817</v>
      </c>
      <c r="O6" t="str">
        <f>TEXT(N6,"0.000")&amp;" ("&amp;(TEXT(G6,"0.000")&amp;")")</f>
        <v>3.121 (3.064)</v>
      </c>
    </row>
    <row r="7" spans="1:15" x14ac:dyDescent="0.35">
      <c r="A7">
        <v>58</v>
      </c>
      <c r="B7" t="s">
        <v>21</v>
      </c>
      <c r="C7" t="s">
        <v>22</v>
      </c>
      <c r="D7" s="2">
        <v>3.6850000000000001</v>
      </c>
      <c r="E7" s="2">
        <f t="shared" si="0"/>
        <v>0.33500000000000002</v>
      </c>
      <c r="F7">
        <v>33.704999999999998</v>
      </c>
      <c r="G7" s="2">
        <f t="shared" si="1"/>
        <v>3.064090909090909</v>
      </c>
      <c r="H7" t="s">
        <v>1</v>
      </c>
      <c r="I7" t="s">
        <v>2</v>
      </c>
      <c r="J7" t="str">
        <f t="shared" si="2"/>
        <v>Fm-3m   (225) (Immm (71))</v>
      </c>
      <c r="K7">
        <v>6.0430000000000001</v>
      </c>
      <c r="L7" s="2">
        <f>K7/11</f>
        <v>0.54936363636363639</v>
      </c>
      <c r="M7" s="2">
        <v>34.331000000000003</v>
      </c>
      <c r="N7" s="2">
        <f t="shared" si="3"/>
        <v>3.1210000000000004</v>
      </c>
      <c r="O7" t="str">
        <f>TEXT(N7,"0.000")&amp;" ("&amp;(TEXT(G7,"0.000")&amp;")")</f>
        <v>3.121 (3.064)</v>
      </c>
    </row>
    <row r="8" spans="1:15" x14ac:dyDescent="0.35">
      <c r="A8">
        <v>70</v>
      </c>
      <c r="B8" t="s">
        <v>24</v>
      </c>
      <c r="C8" t="s">
        <v>22</v>
      </c>
      <c r="D8" s="2">
        <v>3.6850000000000001</v>
      </c>
      <c r="E8" s="2">
        <f t="shared" si="0"/>
        <v>0.33500000000000002</v>
      </c>
      <c r="F8">
        <v>33.686</v>
      </c>
      <c r="G8" s="2">
        <f t="shared" si="1"/>
        <v>3.0623636363636364</v>
      </c>
      <c r="H8" t="s">
        <v>3</v>
      </c>
      <c r="I8" t="s">
        <v>2</v>
      </c>
      <c r="J8" t="str">
        <f t="shared" si="2"/>
        <v>Fm-3m   (225) (R-3m (166))</v>
      </c>
      <c r="K8">
        <v>6.0430000000000001</v>
      </c>
      <c r="L8" s="2">
        <f>K8/11</f>
        <v>0.54936363636363639</v>
      </c>
      <c r="M8" s="2">
        <v>34.332000000000001</v>
      </c>
      <c r="N8" s="2">
        <f t="shared" si="3"/>
        <v>3.1210909090909094</v>
      </c>
      <c r="O8" t="str">
        <f>TEXT(N8,"0.000")&amp;" ("&amp;(TEXT(G8,"0.000")&amp;")")</f>
        <v>3.121 (3.062)</v>
      </c>
    </row>
    <row r="9" spans="1:15" x14ac:dyDescent="0.35">
      <c r="A9">
        <v>93</v>
      </c>
      <c r="B9" t="s">
        <v>21</v>
      </c>
      <c r="C9" t="s">
        <v>22</v>
      </c>
      <c r="D9" s="2">
        <v>3.6850000000000001</v>
      </c>
      <c r="E9" s="2">
        <f t="shared" si="0"/>
        <v>0.33500000000000002</v>
      </c>
      <c r="F9">
        <v>33.704000000000001</v>
      </c>
      <c r="G9" s="2">
        <f t="shared" si="1"/>
        <v>3.0640000000000001</v>
      </c>
      <c r="H9" t="s">
        <v>1</v>
      </c>
      <c r="I9" t="s">
        <v>2</v>
      </c>
      <c r="J9" t="str">
        <f t="shared" si="2"/>
        <v>Fm-3m   (225) (Immm (71))</v>
      </c>
      <c r="K9">
        <v>6.0430000000000001</v>
      </c>
      <c r="L9" s="2">
        <f>K9/11</f>
        <v>0.54936363636363639</v>
      </c>
      <c r="M9" s="2">
        <v>34.33</v>
      </c>
      <c r="N9" s="2">
        <f t="shared" si="3"/>
        <v>3.1209090909090906</v>
      </c>
      <c r="O9" t="str">
        <f>TEXT(N9,"0.000")&amp;" ("&amp;(TEXT(G9,"0.000")&amp;")")</f>
        <v>3.121 (3.064)</v>
      </c>
    </row>
    <row r="10" spans="1:15" x14ac:dyDescent="0.35">
      <c r="A10">
        <v>98</v>
      </c>
      <c r="B10" t="s">
        <v>23</v>
      </c>
      <c r="C10" t="s">
        <v>22</v>
      </c>
      <c r="D10" s="2">
        <v>3.6850000000000001</v>
      </c>
      <c r="E10" s="2">
        <f t="shared" si="0"/>
        <v>0.33500000000000002</v>
      </c>
      <c r="F10">
        <v>33.685000000000002</v>
      </c>
      <c r="G10" s="2">
        <f t="shared" si="1"/>
        <v>3.0622727272727275</v>
      </c>
      <c r="H10" t="s">
        <v>25</v>
      </c>
      <c r="I10" t="s">
        <v>2</v>
      </c>
      <c r="J10" t="str">
        <f t="shared" si="2"/>
        <v>Fm-3m   (225) (Fm-3m (225))</v>
      </c>
      <c r="K10">
        <v>6.0430000000000001</v>
      </c>
      <c r="L10" s="2">
        <f>K10/11</f>
        <v>0.54936363636363639</v>
      </c>
      <c r="M10" s="2">
        <v>34.332999999999998</v>
      </c>
      <c r="N10" s="2">
        <f t="shared" si="3"/>
        <v>3.1211818181818178</v>
      </c>
      <c r="O10" t="str">
        <f>TEXT(N10,"0.000")&amp;" ("&amp;(TEXT(G10,"0.000")&amp;")")</f>
        <v>3.121 (3.062)</v>
      </c>
    </row>
    <row r="11" spans="1:15" x14ac:dyDescent="0.35">
      <c r="A11">
        <v>153</v>
      </c>
      <c r="B11" t="s">
        <v>21</v>
      </c>
      <c r="C11" t="s">
        <v>22</v>
      </c>
      <c r="D11" s="2">
        <v>3.6850000000000001</v>
      </c>
      <c r="E11" s="2">
        <f t="shared" si="0"/>
        <v>0.33500000000000002</v>
      </c>
      <c r="F11">
        <v>33.683999999999997</v>
      </c>
      <c r="G11" s="2">
        <f t="shared" si="1"/>
        <v>3.0621818181818181</v>
      </c>
      <c r="H11" t="s">
        <v>25</v>
      </c>
      <c r="I11" t="s">
        <v>2</v>
      </c>
      <c r="J11" t="str">
        <f t="shared" si="2"/>
        <v>Fm-3m   (225) (Fm-3m (225))</v>
      </c>
      <c r="K11">
        <v>6.0430000000000001</v>
      </c>
      <c r="L11" s="2">
        <f>K11/11</f>
        <v>0.54936363636363639</v>
      </c>
      <c r="M11" s="2">
        <v>34.331000000000003</v>
      </c>
      <c r="N11" s="2">
        <f t="shared" si="3"/>
        <v>3.1210000000000004</v>
      </c>
      <c r="O11" t="str">
        <f>TEXT(N11,"0.000")&amp;" ("&amp;(TEXT(G11,"0.000")&amp;")")</f>
        <v>3.121 (3.062)</v>
      </c>
    </row>
    <row r="12" spans="1:15" x14ac:dyDescent="0.35">
      <c r="A12">
        <v>157</v>
      </c>
      <c r="B12" t="s">
        <v>21</v>
      </c>
      <c r="C12" t="s">
        <v>22</v>
      </c>
      <c r="D12" s="2">
        <v>3.6850000000000001</v>
      </c>
      <c r="E12" s="2">
        <f t="shared" si="0"/>
        <v>0.33500000000000002</v>
      </c>
      <c r="F12">
        <v>33.683999999999997</v>
      </c>
      <c r="G12" s="2">
        <f t="shared" si="1"/>
        <v>3.0621818181818181</v>
      </c>
      <c r="H12" t="s">
        <v>25</v>
      </c>
      <c r="I12" t="s">
        <v>2</v>
      </c>
      <c r="J12" t="str">
        <f t="shared" si="2"/>
        <v>Fm-3m   (225) (Fm-3m (225))</v>
      </c>
      <c r="K12">
        <v>6.0430000000000001</v>
      </c>
      <c r="L12" s="2">
        <f>K12/11</f>
        <v>0.54936363636363639</v>
      </c>
      <c r="M12" s="2">
        <v>34.329000000000001</v>
      </c>
      <c r="N12" s="2">
        <f t="shared" si="3"/>
        <v>3.1208181818181817</v>
      </c>
      <c r="O12" t="str">
        <f>TEXT(N12,"0.000")&amp;" ("&amp;(TEXT(G12,"0.000")&amp;")")</f>
        <v>3.121 (3.062)</v>
      </c>
    </row>
    <row r="13" spans="1:15" x14ac:dyDescent="0.35">
      <c r="A13">
        <v>194</v>
      </c>
      <c r="B13" t="s">
        <v>21</v>
      </c>
      <c r="C13" t="s">
        <v>22</v>
      </c>
      <c r="D13" s="2">
        <v>3.6850000000000001</v>
      </c>
      <c r="E13" s="2">
        <f t="shared" si="0"/>
        <v>0.33500000000000002</v>
      </c>
      <c r="F13">
        <v>33.706000000000003</v>
      </c>
      <c r="G13" s="2">
        <f t="shared" si="1"/>
        <v>3.0641818181818183</v>
      </c>
      <c r="H13" t="s">
        <v>1</v>
      </c>
      <c r="I13" t="s">
        <v>2</v>
      </c>
      <c r="J13" t="str">
        <f t="shared" si="2"/>
        <v>Fm-3m   (225) (Immm (71))</v>
      </c>
      <c r="K13">
        <v>6.0430000000000001</v>
      </c>
      <c r="L13" s="2">
        <f>K13/11</f>
        <v>0.54936363636363639</v>
      </c>
      <c r="M13" s="2">
        <v>34.331000000000003</v>
      </c>
      <c r="N13" s="2">
        <f t="shared" si="3"/>
        <v>3.1210000000000004</v>
      </c>
      <c r="O13" t="str">
        <f>TEXT(N13,"0.000")&amp;" ("&amp;(TEXT(G13,"0.000")&amp;")")</f>
        <v>3.121 (3.064)</v>
      </c>
    </row>
    <row r="14" spans="1:15" x14ac:dyDescent="0.35">
      <c r="A14">
        <v>16</v>
      </c>
      <c r="B14" t="s">
        <v>23</v>
      </c>
      <c r="C14" t="s">
        <v>22</v>
      </c>
      <c r="D14" s="2">
        <v>3.6850000000000001</v>
      </c>
      <c r="E14" s="2">
        <f t="shared" si="0"/>
        <v>0.33500000000000002</v>
      </c>
      <c r="F14">
        <v>33.704999999999998</v>
      </c>
      <c r="G14" s="2">
        <f t="shared" si="1"/>
        <v>3.064090909090909</v>
      </c>
      <c r="H14" t="s">
        <v>1</v>
      </c>
      <c r="I14" t="s">
        <v>2</v>
      </c>
      <c r="J14" t="str">
        <f t="shared" si="2"/>
        <v>Fm-3m   (225) (Immm (71))</v>
      </c>
      <c r="K14">
        <v>6.0439999999999996</v>
      </c>
      <c r="L14" s="2">
        <f>K14/11</f>
        <v>0.54945454545454542</v>
      </c>
      <c r="M14" s="2">
        <v>34.331000000000003</v>
      </c>
      <c r="N14" s="2">
        <f t="shared" si="3"/>
        <v>3.1210000000000004</v>
      </c>
      <c r="O14" t="str">
        <f>TEXT(N14,"0.000")&amp;" ("&amp;(TEXT(G14,"0.000")&amp;")")</f>
        <v>3.121 (3.064)</v>
      </c>
    </row>
    <row r="15" spans="1:15" x14ac:dyDescent="0.35">
      <c r="A15">
        <v>26</v>
      </c>
      <c r="B15" t="s">
        <v>23</v>
      </c>
      <c r="C15" t="s">
        <v>22</v>
      </c>
      <c r="D15" s="2">
        <v>3.6850000000000001</v>
      </c>
      <c r="E15" s="2">
        <f t="shared" si="0"/>
        <v>0.33500000000000002</v>
      </c>
      <c r="F15">
        <v>33.683</v>
      </c>
      <c r="G15" s="2">
        <f t="shared" si="1"/>
        <v>3.0620909090909092</v>
      </c>
      <c r="H15" t="s">
        <v>25</v>
      </c>
      <c r="I15" t="s">
        <v>2</v>
      </c>
      <c r="J15" t="str">
        <f t="shared" si="2"/>
        <v>Fm-3m   (225) (Fm-3m (225))</v>
      </c>
      <c r="K15">
        <v>6.0439999999999996</v>
      </c>
      <c r="L15" s="2">
        <f>K15/11</f>
        <v>0.54945454545454542</v>
      </c>
      <c r="M15" s="2">
        <v>34.331000000000003</v>
      </c>
      <c r="N15" s="2">
        <f t="shared" si="3"/>
        <v>3.1210000000000004</v>
      </c>
      <c r="O15" t="str">
        <f>TEXT(N15,"0.000")&amp;" ("&amp;(TEXT(G15,"0.000")&amp;")")</f>
        <v>3.121 (3.062)</v>
      </c>
    </row>
    <row r="16" spans="1:15" x14ac:dyDescent="0.35">
      <c r="A16">
        <v>59</v>
      </c>
      <c r="B16" t="s">
        <v>21</v>
      </c>
      <c r="C16" t="s">
        <v>22</v>
      </c>
      <c r="D16" s="2">
        <v>3.6850000000000001</v>
      </c>
      <c r="E16" s="2">
        <f t="shared" si="0"/>
        <v>0.33500000000000002</v>
      </c>
      <c r="F16">
        <v>33.706000000000003</v>
      </c>
      <c r="G16" s="2">
        <f t="shared" si="1"/>
        <v>3.0641818181818183</v>
      </c>
      <c r="H16" t="s">
        <v>1</v>
      </c>
      <c r="I16" t="s">
        <v>2</v>
      </c>
      <c r="J16" t="str">
        <f t="shared" si="2"/>
        <v>Fm-3m   (225) (Immm (71))</v>
      </c>
      <c r="K16">
        <v>6.0439999999999996</v>
      </c>
      <c r="L16" s="2">
        <f>K16/11</f>
        <v>0.54945454545454542</v>
      </c>
      <c r="M16" s="2">
        <v>34.331000000000003</v>
      </c>
      <c r="N16" s="2">
        <f t="shared" si="3"/>
        <v>3.1210000000000004</v>
      </c>
      <c r="O16" t="str">
        <f>TEXT(N16,"0.000")&amp;" ("&amp;(TEXT(G16,"0.000")&amp;")")</f>
        <v>3.121 (3.064)</v>
      </c>
    </row>
    <row r="17" spans="1:15" x14ac:dyDescent="0.35">
      <c r="A17">
        <v>66</v>
      </c>
      <c r="B17" t="s">
        <v>23</v>
      </c>
      <c r="C17" t="s">
        <v>22</v>
      </c>
      <c r="D17" s="2">
        <v>3.6850000000000001</v>
      </c>
      <c r="E17" s="2">
        <f t="shared" si="0"/>
        <v>0.33500000000000002</v>
      </c>
      <c r="F17">
        <v>33.704999999999998</v>
      </c>
      <c r="G17" s="2">
        <f t="shared" si="1"/>
        <v>3.064090909090909</v>
      </c>
      <c r="H17" t="s">
        <v>1</v>
      </c>
      <c r="I17" t="s">
        <v>2</v>
      </c>
      <c r="J17" t="str">
        <f t="shared" si="2"/>
        <v>Fm-3m   (225) (Immm (71))</v>
      </c>
      <c r="K17">
        <v>6.0439999999999996</v>
      </c>
      <c r="L17" s="2">
        <f>K17/11</f>
        <v>0.54945454545454542</v>
      </c>
      <c r="M17" s="2">
        <v>34.331000000000003</v>
      </c>
      <c r="N17" s="2">
        <f t="shared" si="3"/>
        <v>3.1210000000000004</v>
      </c>
      <c r="O17" t="str">
        <f>TEXT(N17,"0.000")&amp;" ("&amp;(TEXT(G17,"0.000")&amp;")")</f>
        <v>3.121 (3.064)</v>
      </c>
    </row>
    <row r="18" spans="1:15" x14ac:dyDescent="0.35">
      <c r="A18">
        <v>71</v>
      </c>
      <c r="B18" t="s">
        <v>24</v>
      </c>
      <c r="C18" t="s">
        <v>22</v>
      </c>
      <c r="D18" s="2">
        <v>3.6850000000000001</v>
      </c>
      <c r="E18" s="2">
        <f t="shared" si="0"/>
        <v>0.33500000000000002</v>
      </c>
      <c r="F18">
        <v>33.683999999999997</v>
      </c>
      <c r="G18" s="2">
        <f t="shared" si="1"/>
        <v>3.0621818181818181</v>
      </c>
      <c r="H18" t="s">
        <v>25</v>
      </c>
      <c r="I18" t="s">
        <v>2</v>
      </c>
      <c r="J18" t="str">
        <f t="shared" si="2"/>
        <v>Fm-3m   (225) (Fm-3m (225))</v>
      </c>
      <c r="K18">
        <v>6.0439999999999996</v>
      </c>
      <c r="L18" s="2">
        <f>K18/11</f>
        <v>0.54945454545454542</v>
      </c>
      <c r="M18" s="2">
        <v>34.332000000000001</v>
      </c>
      <c r="N18" s="2">
        <f t="shared" si="3"/>
        <v>3.1210909090909094</v>
      </c>
      <c r="O18" t="str">
        <f>TEXT(N18,"0.000")&amp;" ("&amp;(TEXT(G18,"0.000")&amp;")")</f>
        <v>3.121 (3.062)</v>
      </c>
    </row>
    <row r="19" spans="1:15" x14ac:dyDescent="0.35">
      <c r="A19">
        <v>72</v>
      </c>
      <c r="B19" t="s">
        <v>24</v>
      </c>
      <c r="C19" t="s">
        <v>22</v>
      </c>
      <c r="D19" s="2">
        <v>3.6850000000000001</v>
      </c>
      <c r="E19" s="2">
        <f t="shared" si="0"/>
        <v>0.33500000000000002</v>
      </c>
      <c r="F19">
        <v>33.706000000000003</v>
      </c>
      <c r="G19" s="2">
        <f t="shared" si="1"/>
        <v>3.0641818181818183</v>
      </c>
      <c r="H19" t="s">
        <v>1</v>
      </c>
      <c r="I19" t="s">
        <v>2</v>
      </c>
      <c r="J19" t="str">
        <f t="shared" si="2"/>
        <v>Fm-3m   (225) (Immm (71))</v>
      </c>
      <c r="K19">
        <v>6.0439999999999996</v>
      </c>
      <c r="L19" s="2">
        <f>K19/11</f>
        <v>0.54945454545454542</v>
      </c>
      <c r="M19" s="2">
        <v>34.332000000000001</v>
      </c>
      <c r="N19" s="2">
        <f t="shared" si="3"/>
        <v>3.1210909090909094</v>
      </c>
      <c r="O19" t="str">
        <f>TEXT(N19,"0.000")&amp;" ("&amp;(TEXT(G19,"0.000")&amp;")")</f>
        <v>3.121 (3.064)</v>
      </c>
    </row>
    <row r="20" spans="1:15" x14ac:dyDescent="0.35">
      <c r="A20">
        <v>82</v>
      </c>
      <c r="B20" t="s">
        <v>21</v>
      </c>
      <c r="C20" t="s">
        <v>22</v>
      </c>
      <c r="D20" s="2">
        <v>4.1669999999999998</v>
      </c>
      <c r="E20" s="2">
        <f t="shared" si="0"/>
        <v>0.37881818181818178</v>
      </c>
      <c r="F20">
        <v>34.259</v>
      </c>
      <c r="G20" s="2">
        <f t="shared" si="1"/>
        <v>3.1144545454545454</v>
      </c>
      <c r="H20" t="s">
        <v>10</v>
      </c>
      <c r="I20" t="s">
        <v>2</v>
      </c>
      <c r="J20" t="str">
        <f t="shared" si="2"/>
        <v>Fm-3m   (225) (Cm (8))</v>
      </c>
      <c r="K20">
        <v>6.0439999999999996</v>
      </c>
      <c r="L20" s="2">
        <f>K20/11</f>
        <v>0.54945454545454542</v>
      </c>
      <c r="M20" s="2">
        <v>34.332000000000001</v>
      </c>
      <c r="N20" s="2">
        <f t="shared" si="3"/>
        <v>3.1210909090909094</v>
      </c>
      <c r="O20" t="str">
        <f>TEXT(N20,"0.000")&amp;" ("&amp;(TEXT(G20,"0.000")&amp;")")</f>
        <v>3.121 (3.114)</v>
      </c>
    </row>
    <row r="21" spans="1:15" x14ac:dyDescent="0.35">
      <c r="A21">
        <v>112</v>
      </c>
      <c r="B21" t="s">
        <v>24</v>
      </c>
      <c r="C21" t="s">
        <v>22</v>
      </c>
      <c r="D21" s="2">
        <v>3.6850000000000001</v>
      </c>
      <c r="E21" s="2">
        <f t="shared" si="0"/>
        <v>0.33500000000000002</v>
      </c>
      <c r="F21">
        <v>33.704999999999998</v>
      </c>
      <c r="G21" s="2">
        <f t="shared" si="1"/>
        <v>3.064090909090909</v>
      </c>
      <c r="H21" t="s">
        <v>1</v>
      </c>
      <c r="I21" t="s">
        <v>2</v>
      </c>
      <c r="J21" t="str">
        <f t="shared" si="2"/>
        <v>Fm-3m   (225) (Immm (71))</v>
      </c>
      <c r="K21">
        <v>6.0439999999999996</v>
      </c>
      <c r="L21" s="2">
        <f>K21/11</f>
        <v>0.54945454545454542</v>
      </c>
      <c r="M21" s="2">
        <v>34.33</v>
      </c>
      <c r="N21" s="2">
        <f t="shared" si="3"/>
        <v>3.1209090909090906</v>
      </c>
      <c r="O21" t="str">
        <f>TEXT(N21,"0.000")&amp;" ("&amp;(TEXT(G21,"0.000")&amp;")")</f>
        <v>3.121 (3.064)</v>
      </c>
    </row>
    <row r="22" spans="1:15" x14ac:dyDescent="0.35">
      <c r="A22">
        <v>113</v>
      </c>
      <c r="B22" t="s">
        <v>24</v>
      </c>
      <c r="C22" t="s">
        <v>22</v>
      </c>
      <c r="D22" s="2">
        <v>3.6850000000000001</v>
      </c>
      <c r="E22" s="2">
        <f t="shared" si="0"/>
        <v>0.33500000000000002</v>
      </c>
      <c r="F22">
        <v>33.704000000000001</v>
      </c>
      <c r="G22" s="2">
        <f t="shared" si="1"/>
        <v>3.0640000000000001</v>
      </c>
      <c r="H22" t="s">
        <v>1</v>
      </c>
      <c r="I22" t="s">
        <v>2</v>
      </c>
      <c r="J22" t="str">
        <f t="shared" si="2"/>
        <v>Fm-3m   (225) (Immm (71))</v>
      </c>
      <c r="K22">
        <v>6.0439999999999996</v>
      </c>
      <c r="L22" s="2">
        <f>K22/11</f>
        <v>0.54945454545454542</v>
      </c>
      <c r="M22" s="2">
        <v>34.331000000000003</v>
      </c>
      <c r="N22" s="2">
        <f t="shared" si="3"/>
        <v>3.1210000000000004</v>
      </c>
      <c r="O22" t="str">
        <f>TEXT(N22,"0.000")&amp;" ("&amp;(TEXT(G22,"0.000")&amp;")")</f>
        <v>3.121 (3.064)</v>
      </c>
    </row>
    <row r="23" spans="1:15" x14ac:dyDescent="0.35">
      <c r="A23">
        <v>130</v>
      </c>
      <c r="B23" t="s">
        <v>24</v>
      </c>
      <c r="C23" t="s">
        <v>22</v>
      </c>
      <c r="D23" s="2">
        <v>3.6850000000000001</v>
      </c>
      <c r="E23" s="2">
        <f t="shared" si="0"/>
        <v>0.33500000000000002</v>
      </c>
      <c r="F23">
        <v>33.683999999999997</v>
      </c>
      <c r="G23" s="2">
        <f t="shared" si="1"/>
        <v>3.0621818181818181</v>
      </c>
      <c r="H23" t="s">
        <v>25</v>
      </c>
      <c r="I23" t="s">
        <v>2</v>
      </c>
      <c r="J23" t="str">
        <f t="shared" si="2"/>
        <v>Fm-3m   (225) (Fm-3m (225))</v>
      </c>
      <c r="K23">
        <v>6.0439999999999996</v>
      </c>
      <c r="L23" s="2">
        <f>K23/11</f>
        <v>0.54945454545454542</v>
      </c>
      <c r="M23" s="2">
        <v>34.331000000000003</v>
      </c>
      <c r="N23" s="2">
        <f t="shared" si="3"/>
        <v>3.1210000000000004</v>
      </c>
      <c r="O23" t="str">
        <f>TEXT(N23,"0.000")&amp;" ("&amp;(TEXT(G23,"0.000")&amp;")")</f>
        <v>3.121 (3.062)</v>
      </c>
    </row>
    <row r="24" spans="1:15" x14ac:dyDescent="0.35">
      <c r="A24">
        <v>137</v>
      </c>
      <c r="B24" t="s">
        <v>21</v>
      </c>
      <c r="C24" t="s">
        <v>22</v>
      </c>
      <c r="D24" s="2">
        <v>3.6850000000000001</v>
      </c>
      <c r="E24" s="2">
        <f t="shared" si="0"/>
        <v>0.33500000000000002</v>
      </c>
      <c r="F24">
        <v>33.704999999999998</v>
      </c>
      <c r="G24" s="2">
        <f t="shared" si="1"/>
        <v>3.064090909090909</v>
      </c>
      <c r="H24" t="s">
        <v>1</v>
      </c>
      <c r="I24" t="s">
        <v>2</v>
      </c>
      <c r="J24" t="str">
        <f t="shared" si="2"/>
        <v>Fm-3m   (225) (Immm (71))</v>
      </c>
      <c r="K24">
        <v>6.0439999999999996</v>
      </c>
      <c r="L24" s="2">
        <f>K24/11</f>
        <v>0.54945454545454542</v>
      </c>
      <c r="M24" s="2">
        <v>34.332000000000001</v>
      </c>
      <c r="N24" s="2">
        <f t="shared" si="3"/>
        <v>3.1210909090909094</v>
      </c>
      <c r="O24" t="str">
        <f>TEXT(N24,"0.000")&amp;" ("&amp;(TEXT(G24,"0.000")&amp;")")</f>
        <v>3.121 (3.064)</v>
      </c>
    </row>
    <row r="25" spans="1:15" x14ac:dyDescent="0.35">
      <c r="A25">
        <v>147</v>
      </c>
      <c r="B25" t="s">
        <v>24</v>
      </c>
      <c r="C25" t="s">
        <v>22</v>
      </c>
      <c r="D25" s="2">
        <v>3.6850000000000001</v>
      </c>
      <c r="E25" s="2">
        <f t="shared" si="0"/>
        <v>0.33500000000000002</v>
      </c>
      <c r="F25">
        <v>33.683</v>
      </c>
      <c r="G25" s="2">
        <f t="shared" si="1"/>
        <v>3.0620909090909092</v>
      </c>
      <c r="H25" t="s">
        <v>25</v>
      </c>
      <c r="I25" t="s">
        <v>2</v>
      </c>
      <c r="J25" t="str">
        <f t="shared" si="2"/>
        <v>Fm-3m   (225) (Fm-3m (225))</v>
      </c>
      <c r="K25">
        <v>6.0439999999999996</v>
      </c>
      <c r="L25" s="2">
        <f>K25/11</f>
        <v>0.54945454545454542</v>
      </c>
      <c r="M25" s="2">
        <v>34.331000000000003</v>
      </c>
      <c r="N25" s="2">
        <f t="shared" si="3"/>
        <v>3.1210000000000004</v>
      </c>
      <c r="O25" t="str">
        <f>TEXT(N25,"0.000")&amp;" ("&amp;(TEXT(G25,"0.000")&amp;")")</f>
        <v>3.121 (3.062)</v>
      </c>
    </row>
    <row r="26" spans="1:15" x14ac:dyDescent="0.35">
      <c r="A26">
        <v>151</v>
      </c>
      <c r="B26" t="s">
        <v>24</v>
      </c>
      <c r="C26" t="s">
        <v>22</v>
      </c>
      <c r="D26" s="2">
        <v>3.6850000000000001</v>
      </c>
      <c r="E26" s="2">
        <f t="shared" si="0"/>
        <v>0.33500000000000002</v>
      </c>
      <c r="F26">
        <v>33.683999999999997</v>
      </c>
      <c r="G26" s="2">
        <f t="shared" si="1"/>
        <v>3.0621818181818181</v>
      </c>
      <c r="H26" t="s">
        <v>25</v>
      </c>
      <c r="I26" t="s">
        <v>2</v>
      </c>
      <c r="J26" t="str">
        <f t="shared" si="2"/>
        <v>Fm-3m   (225) (Fm-3m (225))</v>
      </c>
      <c r="K26">
        <v>6.0439999999999996</v>
      </c>
      <c r="L26" s="2">
        <f>K26/11</f>
        <v>0.54945454545454542</v>
      </c>
      <c r="M26" s="2">
        <v>34.331000000000003</v>
      </c>
      <c r="N26" s="2">
        <f t="shared" si="3"/>
        <v>3.1210000000000004</v>
      </c>
      <c r="O26" t="str">
        <f>TEXT(N26,"0.000")&amp;" ("&amp;(TEXT(G26,"0.000")&amp;")")</f>
        <v>3.121 (3.062)</v>
      </c>
    </row>
    <row r="27" spans="1:15" x14ac:dyDescent="0.35">
      <c r="A27">
        <v>183</v>
      </c>
      <c r="B27" t="s">
        <v>24</v>
      </c>
      <c r="C27" t="s">
        <v>22</v>
      </c>
      <c r="D27" s="2">
        <v>3.6850000000000001</v>
      </c>
      <c r="E27" s="2">
        <f t="shared" si="0"/>
        <v>0.33500000000000002</v>
      </c>
      <c r="F27">
        <v>33.706000000000003</v>
      </c>
      <c r="G27" s="2">
        <f t="shared" si="1"/>
        <v>3.0641818181818183</v>
      </c>
      <c r="H27" t="s">
        <v>1</v>
      </c>
      <c r="I27" t="s">
        <v>2</v>
      </c>
      <c r="J27" t="str">
        <f t="shared" si="2"/>
        <v>Fm-3m   (225) (Immm (71))</v>
      </c>
      <c r="K27">
        <v>6.0439999999999996</v>
      </c>
      <c r="L27" s="2">
        <f>K27/11</f>
        <v>0.54945454545454542</v>
      </c>
      <c r="M27" s="2">
        <v>34.33</v>
      </c>
      <c r="N27" s="2">
        <f t="shared" si="3"/>
        <v>3.1209090909090906</v>
      </c>
      <c r="O27" t="str">
        <f>TEXT(N27,"0.000")&amp;" ("&amp;(TEXT(G27,"0.000")&amp;")")</f>
        <v>3.121 (3.064)</v>
      </c>
    </row>
    <row r="28" spans="1:15" x14ac:dyDescent="0.35">
      <c r="A28">
        <v>187</v>
      </c>
      <c r="B28" t="s">
        <v>24</v>
      </c>
      <c r="C28" t="s">
        <v>22</v>
      </c>
      <c r="D28" s="2">
        <v>3.6850000000000001</v>
      </c>
      <c r="E28" s="2">
        <f t="shared" si="0"/>
        <v>0.33500000000000002</v>
      </c>
      <c r="F28">
        <v>33.706000000000003</v>
      </c>
      <c r="G28" s="2">
        <f t="shared" si="1"/>
        <v>3.0641818181818183</v>
      </c>
      <c r="H28" t="s">
        <v>1</v>
      </c>
      <c r="I28" t="s">
        <v>2</v>
      </c>
      <c r="J28" t="str">
        <f t="shared" si="2"/>
        <v>Fm-3m   (225) (Immm (71))</v>
      </c>
      <c r="K28">
        <v>6.0439999999999996</v>
      </c>
      <c r="L28" s="2">
        <f>K28/11</f>
        <v>0.54945454545454542</v>
      </c>
      <c r="M28" s="2">
        <v>34.332000000000001</v>
      </c>
      <c r="N28" s="2">
        <f t="shared" si="3"/>
        <v>3.1210909090909094</v>
      </c>
      <c r="O28" t="str">
        <f>TEXT(N28,"0.000")&amp;" ("&amp;(TEXT(G28,"0.000")&amp;")")</f>
        <v>3.121 (3.064)</v>
      </c>
    </row>
    <row r="29" spans="1:15" x14ac:dyDescent="0.35">
      <c r="A29">
        <v>188</v>
      </c>
      <c r="B29" t="s">
        <v>24</v>
      </c>
      <c r="C29" t="s">
        <v>22</v>
      </c>
      <c r="D29" s="2">
        <v>3.6850000000000001</v>
      </c>
      <c r="E29" s="2">
        <f t="shared" si="0"/>
        <v>0.33500000000000002</v>
      </c>
      <c r="F29">
        <v>33.704999999999998</v>
      </c>
      <c r="G29" s="2">
        <f t="shared" si="1"/>
        <v>3.064090909090909</v>
      </c>
      <c r="H29" t="s">
        <v>1</v>
      </c>
      <c r="I29" t="s">
        <v>2</v>
      </c>
      <c r="J29" t="str">
        <f t="shared" si="2"/>
        <v>Fm-3m   (225) (Immm (71))</v>
      </c>
      <c r="K29">
        <v>6.0439999999999996</v>
      </c>
      <c r="L29" s="2">
        <f>K29/11</f>
        <v>0.54945454545454542</v>
      </c>
      <c r="M29" s="2">
        <v>34.332999999999998</v>
      </c>
      <c r="N29" s="2">
        <f t="shared" si="3"/>
        <v>3.1211818181818178</v>
      </c>
      <c r="O29" t="str">
        <f>TEXT(N29,"0.000")&amp;" ("&amp;(TEXT(G29,"0.000")&amp;")")</f>
        <v>3.121 (3.064)</v>
      </c>
    </row>
    <row r="30" spans="1:15" x14ac:dyDescent="0.35">
      <c r="A30">
        <v>208</v>
      </c>
      <c r="B30" t="s">
        <v>21</v>
      </c>
      <c r="C30" t="s">
        <v>22</v>
      </c>
      <c r="D30" s="2">
        <v>4.1669999999999998</v>
      </c>
      <c r="E30" s="2">
        <f t="shared" si="0"/>
        <v>0.37881818181818178</v>
      </c>
      <c r="F30">
        <v>34.258000000000003</v>
      </c>
      <c r="G30" s="2">
        <f t="shared" si="1"/>
        <v>3.1143636363636364</v>
      </c>
      <c r="H30" t="s">
        <v>10</v>
      </c>
      <c r="I30" t="s">
        <v>2</v>
      </c>
      <c r="J30" t="str">
        <f t="shared" si="2"/>
        <v>Fm-3m   (225) (Cm (8))</v>
      </c>
      <c r="K30">
        <v>6.0439999999999996</v>
      </c>
      <c r="L30" s="2">
        <f>K30/11</f>
        <v>0.54945454545454542</v>
      </c>
      <c r="M30" s="2">
        <v>34.332000000000001</v>
      </c>
      <c r="N30" s="2">
        <f t="shared" si="3"/>
        <v>3.1210909090909094</v>
      </c>
      <c r="O30" t="str">
        <f>TEXT(N30,"0.000")&amp;" ("&amp;(TEXT(G30,"0.000")&amp;")")</f>
        <v>3.121 (3.114)</v>
      </c>
    </row>
    <row r="31" spans="1:15" x14ac:dyDescent="0.35">
      <c r="A31">
        <v>212</v>
      </c>
      <c r="B31" t="s">
        <v>21</v>
      </c>
      <c r="C31" t="s">
        <v>22</v>
      </c>
      <c r="D31" s="2">
        <v>3.6850000000000001</v>
      </c>
      <c r="E31" s="2">
        <f t="shared" si="0"/>
        <v>0.33500000000000002</v>
      </c>
      <c r="F31">
        <v>33.683</v>
      </c>
      <c r="G31" s="2">
        <f t="shared" si="1"/>
        <v>3.0620909090909092</v>
      </c>
      <c r="H31" t="s">
        <v>25</v>
      </c>
      <c r="I31" t="s">
        <v>2</v>
      </c>
      <c r="J31" t="str">
        <f t="shared" si="2"/>
        <v>Fm-3m   (225) (Fm-3m (225))</v>
      </c>
      <c r="K31">
        <v>6.0439999999999996</v>
      </c>
      <c r="L31" s="2">
        <f>K31/11</f>
        <v>0.54945454545454542</v>
      </c>
      <c r="M31" s="2">
        <v>34.33</v>
      </c>
      <c r="N31" s="2">
        <f t="shared" si="3"/>
        <v>3.1209090909090906</v>
      </c>
      <c r="O31" t="str">
        <f>TEXT(N31,"0.000")&amp;" ("&amp;(TEXT(G31,"0.000")&amp;")")</f>
        <v>3.121 (3.062)</v>
      </c>
    </row>
    <row r="32" spans="1:15" x14ac:dyDescent="0.35">
      <c r="A32">
        <v>10</v>
      </c>
      <c r="B32" t="s">
        <v>23</v>
      </c>
      <c r="C32" t="s">
        <v>22</v>
      </c>
      <c r="D32" s="2">
        <v>5.1550000000000002</v>
      </c>
      <c r="E32" s="2">
        <f t="shared" si="0"/>
        <v>0.46863636363636368</v>
      </c>
      <c r="F32">
        <v>34.351999999999997</v>
      </c>
      <c r="G32" s="2">
        <f t="shared" si="1"/>
        <v>3.1229090909090904</v>
      </c>
      <c r="H32" t="s">
        <v>26</v>
      </c>
      <c r="I32" t="s">
        <v>2</v>
      </c>
      <c r="J32" t="str">
        <f t="shared" si="2"/>
        <v>Fm-3m   (225) (Fmmm (69))</v>
      </c>
      <c r="K32">
        <v>6.0449999999999999</v>
      </c>
      <c r="L32" s="2">
        <f>K32/11</f>
        <v>0.54954545454545456</v>
      </c>
      <c r="M32" s="2">
        <v>34.334000000000003</v>
      </c>
      <c r="N32" s="2">
        <f t="shared" si="3"/>
        <v>3.1212727272727276</v>
      </c>
      <c r="O32" t="str">
        <f>TEXT(N32,"0.000")&amp;" ("&amp;(TEXT(G32,"0.000")&amp;")")</f>
        <v>3.121 (3.123)</v>
      </c>
    </row>
    <row r="33" spans="1:15" x14ac:dyDescent="0.35">
      <c r="A33">
        <v>13</v>
      </c>
      <c r="B33" t="s">
        <v>23</v>
      </c>
      <c r="C33" t="s">
        <v>22</v>
      </c>
      <c r="D33" s="2">
        <v>3.6850000000000001</v>
      </c>
      <c r="E33" s="2">
        <f t="shared" si="0"/>
        <v>0.33500000000000002</v>
      </c>
      <c r="F33">
        <v>33.683999999999997</v>
      </c>
      <c r="G33" s="2">
        <f t="shared" si="1"/>
        <v>3.0621818181818181</v>
      </c>
      <c r="H33" t="s">
        <v>25</v>
      </c>
      <c r="I33" t="s">
        <v>2</v>
      </c>
      <c r="J33" t="str">
        <f t="shared" si="2"/>
        <v>Fm-3m   (225) (Fm-3m (225))</v>
      </c>
      <c r="K33">
        <v>6.0449999999999999</v>
      </c>
      <c r="L33" s="2">
        <f>K33/11</f>
        <v>0.54954545454545456</v>
      </c>
      <c r="M33" s="2">
        <v>34.331000000000003</v>
      </c>
      <c r="N33" s="2">
        <f t="shared" si="3"/>
        <v>3.1210000000000004</v>
      </c>
      <c r="O33" t="str">
        <f>TEXT(N33,"0.000")&amp;" ("&amp;(TEXT(G33,"0.000")&amp;")")</f>
        <v>3.121 (3.062)</v>
      </c>
    </row>
    <row r="34" spans="1:15" x14ac:dyDescent="0.35">
      <c r="A34">
        <v>22</v>
      </c>
      <c r="B34" t="s">
        <v>23</v>
      </c>
      <c r="C34" t="s">
        <v>22</v>
      </c>
      <c r="D34" s="2">
        <v>4.9480000000000004</v>
      </c>
      <c r="E34" s="2">
        <f t="shared" si="0"/>
        <v>0.44981818181818184</v>
      </c>
      <c r="F34">
        <v>33.950000000000003</v>
      </c>
      <c r="G34" s="2">
        <f t="shared" si="1"/>
        <v>3.0863636363636364</v>
      </c>
      <c r="H34" t="s">
        <v>27</v>
      </c>
      <c r="I34" t="s">
        <v>2</v>
      </c>
      <c r="J34" t="str">
        <f t="shared" si="2"/>
        <v>Fm-3m   (225) (I-4m2 (119))</v>
      </c>
      <c r="K34">
        <v>6.0449999999999999</v>
      </c>
      <c r="L34" s="2">
        <f>K34/11</f>
        <v>0.54954545454545456</v>
      </c>
      <c r="M34" s="2">
        <v>34.334000000000003</v>
      </c>
      <c r="N34" s="2">
        <f t="shared" si="3"/>
        <v>3.1212727272727276</v>
      </c>
      <c r="O34" t="str">
        <f>TEXT(N34,"0.000")&amp;" ("&amp;(TEXT(G34,"0.000")&amp;")")</f>
        <v>3.121 (3.086)</v>
      </c>
    </row>
    <row r="35" spans="1:15" x14ac:dyDescent="0.35">
      <c r="A35">
        <v>73</v>
      </c>
      <c r="B35" t="s">
        <v>24</v>
      </c>
      <c r="C35" t="s">
        <v>22</v>
      </c>
      <c r="D35" s="2">
        <v>3.6850000000000001</v>
      </c>
      <c r="E35" s="2">
        <f t="shared" si="0"/>
        <v>0.33500000000000002</v>
      </c>
      <c r="F35">
        <v>33.706000000000003</v>
      </c>
      <c r="G35" s="2">
        <f t="shared" si="1"/>
        <v>3.0641818181818183</v>
      </c>
      <c r="H35" t="s">
        <v>1</v>
      </c>
      <c r="I35" t="s">
        <v>2</v>
      </c>
      <c r="J35" t="str">
        <f t="shared" si="2"/>
        <v>Fm-3m   (225) (Immm (71))</v>
      </c>
      <c r="K35">
        <v>6.0449999999999999</v>
      </c>
      <c r="L35" s="2">
        <f>K35/11</f>
        <v>0.54954545454545456</v>
      </c>
      <c r="M35" s="2">
        <v>34.331000000000003</v>
      </c>
      <c r="N35" s="2">
        <f t="shared" si="3"/>
        <v>3.1210000000000004</v>
      </c>
      <c r="O35" t="str">
        <f>TEXT(N35,"0.000")&amp;" ("&amp;(TEXT(G35,"0.000")&amp;")")</f>
        <v>3.121 (3.064)</v>
      </c>
    </row>
    <row r="36" spans="1:15" x14ac:dyDescent="0.35">
      <c r="A36">
        <v>81</v>
      </c>
      <c r="B36" t="s">
        <v>21</v>
      </c>
      <c r="C36" t="s">
        <v>22</v>
      </c>
      <c r="D36" s="2">
        <v>3.6850000000000001</v>
      </c>
      <c r="E36" s="2">
        <f t="shared" si="0"/>
        <v>0.33500000000000002</v>
      </c>
      <c r="F36">
        <v>33.683</v>
      </c>
      <c r="G36" s="2">
        <f t="shared" si="1"/>
        <v>3.0620909090909092</v>
      </c>
      <c r="H36" t="s">
        <v>25</v>
      </c>
      <c r="I36" t="s">
        <v>2</v>
      </c>
      <c r="J36" t="str">
        <f t="shared" si="2"/>
        <v>Fm-3m   (225) (Fm-3m (225))</v>
      </c>
      <c r="K36">
        <v>6.0449999999999999</v>
      </c>
      <c r="L36" s="2">
        <f>K36/11</f>
        <v>0.54954545454545456</v>
      </c>
      <c r="M36" s="2">
        <v>34.331000000000003</v>
      </c>
      <c r="N36" s="2">
        <f t="shared" si="3"/>
        <v>3.1210000000000004</v>
      </c>
      <c r="O36" t="str">
        <f>TEXT(N36,"0.000")&amp;" ("&amp;(TEXT(G36,"0.000")&amp;")")</f>
        <v>3.121 (3.062)</v>
      </c>
    </row>
    <row r="37" spans="1:15" x14ac:dyDescent="0.35">
      <c r="A37">
        <v>107</v>
      </c>
      <c r="B37" t="s">
        <v>24</v>
      </c>
      <c r="C37" t="s">
        <v>22</v>
      </c>
      <c r="D37" s="2">
        <v>3.6850000000000001</v>
      </c>
      <c r="E37" s="2">
        <f t="shared" si="0"/>
        <v>0.33500000000000002</v>
      </c>
      <c r="F37">
        <v>33.683999999999997</v>
      </c>
      <c r="G37" s="2">
        <f t="shared" si="1"/>
        <v>3.0621818181818181</v>
      </c>
      <c r="H37" t="s">
        <v>25</v>
      </c>
      <c r="I37" t="s">
        <v>2</v>
      </c>
      <c r="J37" t="str">
        <f t="shared" si="2"/>
        <v>Fm-3m   (225) (Fm-3m (225))</v>
      </c>
      <c r="K37">
        <v>6.0449999999999999</v>
      </c>
      <c r="L37" s="2">
        <f>K37/11</f>
        <v>0.54954545454545456</v>
      </c>
      <c r="M37" s="2">
        <v>34.332999999999998</v>
      </c>
      <c r="N37" s="2">
        <f t="shared" si="3"/>
        <v>3.1211818181818178</v>
      </c>
      <c r="O37" t="str">
        <f>TEXT(N37,"0.000")&amp;" ("&amp;(TEXT(G37,"0.000")&amp;")")</f>
        <v>3.121 (3.062)</v>
      </c>
    </row>
    <row r="38" spans="1:15" x14ac:dyDescent="0.35">
      <c r="A38">
        <v>116</v>
      </c>
      <c r="B38" t="s">
        <v>21</v>
      </c>
      <c r="C38" t="s">
        <v>22</v>
      </c>
      <c r="D38" s="2">
        <v>3.6850000000000001</v>
      </c>
      <c r="E38" s="2">
        <f t="shared" si="0"/>
        <v>0.33500000000000002</v>
      </c>
      <c r="F38">
        <v>33.704999999999998</v>
      </c>
      <c r="G38" s="2">
        <f t="shared" si="1"/>
        <v>3.064090909090909</v>
      </c>
      <c r="H38" t="s">
        <v>1</v>
      </c>
      <c r="I38" t="s">
        <v>2</v>
      </c>
      <c r="J38" t="str">
        <f t="shared" si="2"/>
        <v>Fm-3m   (225) (Immm (71))</v>
      </c>
      <c r="K38">
        <v>6.0449999999999999</v>
      </c>
      <c r="L38" s="2">
        <f>K38/11</f>
        <v>0.54954545454545456</v>
      </c>
      <c r="M38" s="2">
        <v>34.332999999999998</v>
      </c>
      <c r="N38" s="2">
        <f t="shared" si="3"/>
        <v>3.1211818181818178</v>
      </c>
      <c r="O38" t="str">
        <f>TEXT(N38,"0.000")&amp;" ("&amp;(TEXT(G38,"0.000")&amp;")")</f>
        <v>3.121 (3.064)</v>
      </c>
    </row>
    <row r="39" spans="1:15" x14ac:dyDescent="0.35">
      <c r="A39">
        <v>118</v>
      </c>
      <c r="B39" t="s">
        <v>21</v>
      </c>
      <c r="C39" t="s">
        <v>22</v>
      </c>
      <c r="D39" s="2">
        <v>4.1669999999999998</v>
      </c>
      <c r="E39" s="2">
        <f t="shared" si="0"/>
        <v>0.37881818181818178</v>
      </c>
      <c r="F39">
        <v>34.259</v>
      </c>
      <c r="G39" s="2">
        <f t="shared" si="1"/>
        <v>3.1144545454545454</v>
      </c>
      <c r="H39" t="s">
        <v>10</v>
      </c>
      <c r="I39" t="s">
        <v>2</v>
      </c>
      <c r="J39" t="str">
        <f t="shared" si="2"/>
        <v>Fm-3m   (225) (Cm (8))</v>
      </c>
      <c r="K39">
        <v>6.0449999999999999</v>
      </c>
      <c r="L39" s="2">
        <f>K39/11</f>
        <v>0.54954545454545456</v>
      </c>
      <c r="M39" s="2">
        <v>34.331000000000003</v>
      </c>
      <c r="N39" s="2">
        <f t="shared" si="3"/>
        <v>3.1210000000000004</v>
      </c>
      <c r="O39" t="str">
        <f>TEXT(N39,"0.000")&amp;" ("&amp;(TEXT(G39,"0.000")&amp;")")</f>
        <v>3.121 (3.114)</v>
      </c>
    </row>
    <row r="40" spans="1:15" x14ac:dyDescent="0.35">
      <c r="A40">
        <v>140</v>
      </c>
      <c r="B40" t="s">
        <v>23</v>
      </c>
      <c r="C40" t="s">
        <v>22</v>
      </c>
      <c r="D40" s="2">
        <v>4.1669999999999998</v>
      </c>
      <c r="E40" s="2">
        <f t="shared" si="0"/>
        <v>0.37881818181818178</v>
      </c>
      <c r="F40">
        <v>34.258000000000003</v>
      </c>
      <c r="G40" s="2">
        <f t="shared" si="1"/>
        <v>3.1143636363636364</v>
      </c>
      <c r="H40" t="s">
        <v>10</v>
      </c>
      <c r="I40" t="s">
        <v>2</v>
      </c>
      <c r="J40" t="str">
        <f t="shared" si="2"/>
        <v>Fm-3m   (225) (Cm (8))</v>
      </c>
      <c r="K40">
        <v>6.0449999999999999</v>
      </c>
      <c r="L40" s="2">
        <f>K40/11</f>
        <v>0.54954545454545456</v>
      </c>
      <c r="M40" s="2">
        <v>34.331000000000003</v>
      </c>
      <c r="N40" s="2">
        <f t="shared" si="3"/>
        <v>3.1210000000000004</v>
      </c>
      <c r="O40" t="str">
        <f>TEXT(N40,"0.000")&amp;" ("&amp;(TEXT(G40,"0.000")&amp;")")</f>
        <v>3.121 (3.114)</v>
      </c>
    </row>
    <row r="41" spans="1:15" x14ac:dyDescent="0.35">
      <c r="A41">
        <v>150</v>
      </c>
      <c r="B41" t="s">
        <v>24</v>
      </c>
      <c r="C41" t="s">
        <v>22</v>
      </c>
      <c r="D41" s="2">
        <v>3.6850000000000001</v>
      </c>
      <c r="E41" s="2">
        <f t="shared" si="0"/>
        <v>0.33500000000000002</v>
      </c>
      <c r="F41">
        <v>33.683999999999997</v>
      </c>
      <c r="G41" s="2">
        <f t="shared" si="1"/>
        <v>3.0621818181818181</v>
      </c>
      <c r="H41" t="s">
        <v>25</v>
      </c>
      <c r="I41" t="s">
        <v>2</v>
      </c>
      <c r="J41" t="str">
        <f t="shared" si="2"/>
        <v>Fm-3m   (225) (Fm-3m (225))</v>
      </c>
      <c r="K41">
        <v>6.0449999999999999</v>
      </c>
      <c r="L41" s="2">
        <f>K41/11</f>
        <v>0.54954545454545456</v>
      </c>
      <c r="M41" s="2">
        <v>34.329000000000001</v>
      </c>
      <c r="N41" s="2">
        <f t="shared" si="3"/>
        <v>3.1208181818181817</v>
      </c>
      <c r="O41" t="str">
        <f>TEXT(N41,"0.000")&amp;" ("&amp;(TEXT(G41,"0.000")&amp;")")</f>
        <v>3.121 (3.062)</v>
      </c>
    </row>
    <row r="42" spans="1:15" x14ac:dyDescent="0.35">
      <c r="A42">
        <v>154</v>
      </c>
      <c r="B42" t="s">
        <v>21</v>
      </c>
      <c r="C42" t="s">
        <v>22</v>
      </c>
      <c r="D42" s="2">
        <v>3.6850000000000001</v>
      </c>
      <c r="E42" s="2">
        <f t="shared" si="0"/>
        <v>0.33500000000000002</v>
      </c>
      <c r="F42">
        <v>33.703000000000003</v>
      </c>
      <c r="G42" s="2">
        <f t="shared" si="1"/>
        <v>3.0639090909090911</v>
      </c>
      <c r="H42" t="s">
        <v>1</v>
      </c>
      <c r="I42" t="s">
        <v>2</v>
      </c>
      <c r="J42" t="str">
        <f t="shared" si="2"/>
        <v>Fm-3m   (225) (Immm (71))</v>
      </c>
      <c r="K42">
        <v>6.0449999999999999</v>
      </c>
      <c r="L42" s="2">
        <f>K42/11</f>
        <v>0.54954545454545456</v>
      </c>
      <c r="M42" s="2">
        <v>34.332000000000001</v>
      </c>
      <c r="N42" s="2">
        <f t="shared" si="3"/>
        <v>3.1210909090909094</v>
      </c>
      <c r="O42" t="str">
        <f>TEXT(N42,"0.000")&amp;" ("&amp;(TEXT(G42,"0.000")&amp;")")</f>
        <v>3.121 (3.064)</v>
      </c>
    </row>
    <row r="43" spans="1:15" x14ac:dyDescent="0.35">
      <c r="A43">
        <v>169</v>
      </c>
      <c r="B43" t="s">
        <v>21</v>
      </c>
      <c r="C43" t="s">
        <v>22</v>
      </c>
      <c r="D43" s="2">
        <v>3.6850000000000001</v>
      </c>
      <c r="E43" s="2">
        <f t="shared" si="0"/>
        <v>0.33500000000000002</v>
      </c>
      <c r="F43">
        <v>33.704999999999998</v>
      </c>
      <c r="G43" s="2">
        <f t="shared" si="1"/>
        <v>3.064090909090909</v>
      </c>
      <c r="H43" t="s">
        <v>1</v>
      </c>
      <c r="I43" t="s">
        <v>2</v>
      </c>
      <c r="J43" t="str">
        <f t="shared" si="2"/>
        <v>Fm-3m   (225) (Immm (71))</v>
      </c>
      <c r="K43">
        <v>6.0449999999999999</v>
      </c>
      <c r="L43" s="2">
        <f>K43/11</f>
        <v>0.54954545454545456</v>
      </c>
      <c r="M43" s="2">
        <v>34.33</v>
      </c>
      <c r="N43" s="2">
        <f t="shared" si="3"/>
        <v>3.1209090909090906</v>
      </c>
      <c r="O43" t="str">
        <f>TEXT(N43,"0.000")&amp;" ("&amp;(TEXT(G43,"0.000")&amp;")")</f>
        <v>3.121 (3.064)</v>
      </c>
    </row>
    <row r="44" spans="1:15" x14ac:dyDescent="0.35">
      <c r="A44">
        <v>170</v>
      </c>
      <c r="B44" t="s">
        <v>21</v>
      </c>
      <c r="C44" t="s">
        <v>22</v>
      </c>
      <c r="D44" s="2">
        <v>3.6850000000000001</v>
      </c>
      <c r="E44" s="2">
        <f t="shared" si="0"/>
        <v>0.33500000000000002</v>
      </c>
      <c r="F44">
        <v>33.683</v>
      </c>
      <c r="G44" s="2">
        <f t="shared" si="1"/>
        <v>3.0620909090909092</v>
      </c>
      <c r="H44" t="s">
        <v>25</v>
      </c>
      <c r="I44" t="s">
        <v>2</v>
      </c>
      <c r="J44" t="str">
        <f t="shared" si="2"/>
        <v>Fm-3m   (225) (Fm-3m (225))</v>
      </c>
      <c r="K44">
        <v>6.0449999999999999</v>
      </c>
      <c r="L44" s="2">
        <f>K44/11</f>
        <v>0.54954545454545456</v>
      </c>
      <c r="M44" s="2">
        <v>34.332000000000001</v>
      </c>
      <c r="N44" s="2">
        <f t="shared" si="3"/>
        <v>3.1210909090909094</v>
      </c>
      <c r="O44" t="str">
        <f>TEXT(N44,"0.000")&amp;" ("&amp;(TEXT(G44,"0.000")&amp;")")</f>
        <v>3.121 (3.062)</v>
      </c>
    </row>
    <row r="45" spans="1:15" x14ac:dyDescent="0.35">
      <c r="A45">
        <v>171</v>
      </c>
      <c r="B45" t="s">
        <v>21</v>
      </c>
      <c r="C45" t="s">
        <v>22</v>
      </c>
      <c r="D45" s="2">
        <v>3.6850000000000001</v>
      </c>
      <c r="E45" s="2">
        <f t="shared" si="0"/>
        <v>0.33500000000000002</v>
      </c>
      <c r="F45">
        <v>33.704999999999998</v>
      </c>
      <c r="G45" s="2">
        <f t="shared" si="1"/>
        <v>3.064090909090909</v>
      </c>
      <c r="H45" t="s">
        <v>1</v>
      </c>
      <c r="I45" t="s">
        <v>2</v>
      </c>
      <c r="J45" t="str">
        <f t="shared" si="2"/>
        <v>Fm-3m   (225) (Immm (71))</v>
      </c>
      <c r="K45">
        <v>6.0449999999999999</v>
      </c>
      <c r="L45" s="2">
        <f>K45/11</f>
        <v>0.54954545454545456</v>
      </c>
      <c r="M45" s="2">
        <v>34.331000000000003</v>
      </c>
      <c r="N45" s="2">
        <f t="shared" si="3"/>
        <v>3.1210000000000004</v>
      </c>
      <c r="O45" t="str">
        <f>TEXT(N45,"0.000")&amp;" ("&amp;(TEXT(G45,"0.000")&amp;")")</f>
        <v>3.121 (3.064)</v>
      </c>
    </row>
    <row r="46" spans="1:15" x14ac:dyDescent="0.35">
      <c r="A46">
        <v>181</v>
      </c>
      <c r="B46" t="s">
        <v>24</v>
      </c>
      <c r="C46" t="s">
        <v>22</v>
      </c>
      <c r="D46" s="2">
        <v>3.6850000000000001</v>
      </c>
      <c r="E46" s="2">
        <f t="shared" si="0"/>
        <v>0.33500000000000002</v>
      </c>
      <c r="F46">
        <v>33.683999999999997</v>
      </c>
      <c r="G46" s="2">
        <f t="shared" si="1"/>
        <v>3.0621818181818181</v>
      </c>
      <c r="H46" t="s">
        <v>25</v>
      </c>
      <c r="I46" t="s">
        <v>2</v>
      </c>
      <c r="J46" t="str">
        <f t="shared" si="2"/>
        <v>Fm-3m   (225) (Fm-3m (225))</v>
      </c>
      <c r="K46">
        <v>6.0449999999999999</v>
      </c>
      <c r="L46" s="2">
        <f>K46/11</f>
        <v>0.54954545454545456</v>
      </c>
      <c r="M46" s="2">
        <v>34.332000000000001</v>
      </c>
      <c r="N46" s="2">
        <f t="shared" si="3"/>
        <v>3.1210909090909094</v>
      </c>
      <c r="O46" t="str">
        <f>TEXT(N46,"0.000")&amp;" ("&amp;(TEXT(G46,"0.000")&amp;")")</f>
        <v>3.121 (3.062)</v>
      </c>
    </row>
    <row r="47" spans="1:15" x14ac:dyDescent="0.35">
      <c r="A47">
        <v>87</v>
      </c>
      <c r="B47" t="s">
        <v>24</v>
      </c>
      <c r="C47" t="s">
        <v>22</v>
      </c>
      <c r="D47" s="2">
        <v>3.6850000000000001</v>
      </c>
      <c r="E47" s="2">
        <f t="shared" si="0"/>
        <v>0.33500000000000002</v>
      </c>
      <c r="F47">
        <v>33.683</v>
      </c>
      <c r="G47" s="2">
        <f t="shared" si="1"/>
        <v>3.0620909090909092</v>
      </c>
      <c r="H47" t="s">
        <v>25</v>
      </c>
      <c r="I47" t="s">
        <v>2</v>
      </c>
      <c r="J47" t="str">
        <f t="shared" si="2"/>
        <v>Fm-3m   (225) (Fm-3m (225))</v>
      </c>
      <c r="K47">
        <v>6.0460000000000003</v>
      </c>
      <c r="L47" s="2">
        <f>K47/11</f>
        <v>0.5496363636363637</v>
      </c>
      <c r="M47" s="2">
        <v>34.332999999999998</v>
      </c>
      <c r="N47" s="2">
        <f t="shared" si="3"/>
        <v>3.1211818181818178</v>
      </c>
      <c r="O47" t="str">
        <f>TEXT(N47,"0.000")&amp;" ("&amp;(TEXT(G47,"0.000")&amp;")")</f>
        <v>3.121 (3.062)</v>
      </c>
    </row>
    <row r="48" spans="1:15" x14ac:dyDescent="0.35">
      <c r="A48">
        <v>180</v>
      </c>
      <c r="B48" t="s">
        <v>24</v>
      </c>
      <c r="C48" t="s">
        <v>22</v>
      </c>
      <c r="D48" s="2">
        <v>3.6850000000000001</v>
      </c>
      <c r="E48" s="2">
        <f t="shared" si="0"/>
        <v>0.33500000000000002</v>
      </c>
      <c r="F48">
        <v>33.683999999999997</v>
      </c>
      <c r="G48" s="2">
        <f t="shared" si="1"/>
        <v>3.0621818181818181</v>
      </c>
      <c r="H48" t="s">
        <v>25</v>
      </c>
      <c r="I48" t="s">
        <v>2</v>
      </c>
      <c r="J48" t="str">
        <f t="shared" si="2"/>
        <v>Fm-3m   (225) (Fm-3m (225))</v>
      </c>
      <c r="K48">
        <v>6.0460000000000003</v>
      </c>
      <c r="L48" s="2">
        <f>K48/11</f>
        <v>0.5496363636363637</v>
      </c>
      <c r="M48" s="2">
        <v>34.332000000000001</v>
      </c>
      <c r="N48" s="2">
        <f t="shared" si="3"/>
        <v>3.1210909090909094</v>
      </c>
      <c r="O48" t="str">
        <f>TEXT(N48,"0.000")&amp;" ("&amp;(TEXT(G48,"0.000")&amp;")")</f>
        <v>3.121 (3.062)</v>
      </c>
    </row>
    <row r="49" spans="1:15" x14ac:dyDescent="0.35">
      <c r="A49">
        <v>19</v>
      </c>
      <c r="B49" t="s">
        <v>23</v>
      </c>
      <c r="C49" t="s">
        <v>22</v>
      </c>
      <c r="D49" s="2">
        <v>8.8339999999999996</v>
      </c>
      <c r="E49" s="2">
        <f t="shared" si="0"/>
        <v>0.80309090909090908</v>
      </c>
      <c r="F49">
        <v>35.334000000000003</v>
      </c>
      <c r="G49" s="2">
        <f t="shared" si="1"/>
        <v>3.2121818181818185</v>
      </c>
      <c r="H49" t="s">
        <v>28</v>
      </c>
      <c r="I49" t="s">
        <v>9</v>
      </c>
      <c r="J49" t="str">
        <f t="shared" si="2"/>
        <v>Cmmm    (65) (P4/mmm (123))</v>
      </c>
      <c r="K49">
        <v>6.3220000000000001</v>
      </c>
      <c r="L49" s="2">
        <f>K49/11</f>
        <v>0.57472727272727275</v>
      </c>
      <c r="M49" s="2">
        <v>35.414999999999999</v>
      </c>
      <c r="N49" s="2">
        <f t="shared" si="3"/>
        <v>3.2195454545454543</v>
      </c>
      <c r="O49" t="str">
        <f>TEXT(N49,"0.000")&amp;" ("&amp;(TEXT(G49,"0.000")&amp;")")</f>
        <v>3.220 (3.212)</v>
      </c>
    </row>
    <row r="50" spans="1:15" x14ac:dyDescent="0.35">
      <c r="A50">
        <v>4</v>
      </c>
      <c r="B50" t="s">
        <v>23</v>
      </c>
      <c r="C50" t="s">
        <v>22</v>
      </c>
      <c r="D50" s="2">
        <v>8.8339999999999996</v>
      </c>
      <c r="E50" s="2">
        <f t="shared" si="0"/>
        <v>0.80309090909090908</v>
      </c>
      <c r="F50">
        <v>35.334000000000003</v>
      </c>
      <c r="G50" s="2">
        <f t="shared" si="1"/>
        <v>3.2121818181818185</v>
      </c>
      <c r="H50" t="s">
        <v>28</v>
      </c>
      <c r="I50" t="s">
        <v>9</v>
      </c>
      <c r="J50" t="str">
        <f t="shared" si="2"/>
        <v>Cmmm    (65) (P4/mmm (123))</v>
      </c>
      <c r="K50">
        <v>6.3230000000000004</v>
      </c>
      <c r="L50" s="2">
        <f>K50/11</f>
        <v>0.57481818181818189</v>
      </c>
      <c r="M50" s="2">
        <v>35.415999999999997</v>
      </c>
      <c r="N50" s="2">
        <f t="shared" si="3"/>
        <v>3.2196363636363632</v>
      </c>
      <c r="O50" t="str">
        <f>TEXT(N50,"0.000")&amp;" ("&amp;(TEXT(G50,"0.000")&amp;")")</f>
        <v>3.220 (3.212)</v>
      </c>
    </row>
    <row r="51" spans="1:15" x14ac:dyDescent="0.35">
      <c r="A51">
        <v>121</v>
      </c>
      <c r="B51" t="s">
        <v>21</v>
      </c>
      <c r="C51" t="s">
        <v>22</v>
      </c>
      <c r="D51" s="2">
        <v>3.7090000000000001</v>
      </c>
      <c r="E51" s="2">
        <f t="shared" si="0"/>
        <v>0.33718181818181819</v>
      </c>
      <c r="F51">
        <v>35.012999999999998</v>
      </c>
      <c r="G51" s="2">
        <f t="shared" si="1"/>
        <v>3.1829999999999998</v>
      </c>
      <c r="H51" t="s">
        <v>8</v>
      </c>
      <c r="I51" t="s">
        <v>9</v>
      </c>
      <c r="J51" t="str">
        <f t="shared" si="2"/>
        <v>Cmmm    (65) (Cmmm (65))</v>
      </c>
      <c r="K51">
        <v>6.3239999999999998</v>
      </c>
      <c r="L51" s="2">
        <f>K51/11</f>
        <v>0.57490909090909093</v>
      </c>
      <c r="M51" s="2">
        <v>35.411000000000001</v>
      </c>
      <c r="N51" s="2">
        <f t="shared" si="3"/>
        <v>3.2191818181818181</v>
      </c>
      <c r="O51" t="str">
        <f>TEXT(N51,"0.000")&amp;" ("&amp;(TEXT(G51,"0.000")&amp;")")</f>
        <v>3.219 (3.183)</v>
      </c>
    </row>
    <row r="52" spans="1:15" x14ac:dyDescent="0.35">
      <c r="A52">
        <v>146</v>
      </c>
      <c r="B52" t="s">
        <v>23</v>
      </c>
      <c r="C52" t="s">
        <v>22</v>
      </c>
      <c r="D52" s="2">
        <v>3.7090000000000001</v>
      </c>
      <c r="E52" s="2">
        <f t="shared" si="0"/>
        <v>0.33718181818181819</v>
      </c>
      <c r="F52">
        <v>35.014000000000003</v>
      </c>
      <c r="G52" s="2">
        <f t="shared" si="1"/>
        <v>3.1830909090909092</v>
      </c>
      <c r="H52" t="s">
        <v>8</v>
      </c>
      <c r="I52" t="s">
        <v>9</v>
      </c>
      <c r="J52" t="str">
        <f t="shared" si="2"/>
        <v>Cmmm    (65) (Cmmm (65))</v>
      </c>
      <c r="K52">
        <v>6.3239999999999998</v>
      </c>
      <c r="L52" s="2">
        <f>K52/11</f>
        <v>0.57490909090909093</v>
      </c>
      <c r="M52" s="2">
        <v>35.412999999999997</v>
      </c>
      <c r="N52" s="2">
        <f t="shared" si="3"/>
        <v>3.219363636363636</v>
      </c>
      <c r="O52" t="str">
        <f>TEXT(N52,"0.000")&amp;" ("&amp;(TEXT(G52,"0.000")&amp;")")</f>
        <v>3.219 (3.183)</v>
      </c>
    </row>
    <row r="53" spans="1:15" x14ac:dyDescent="0.35">
      <c r="A53">
        <v>202</v>
      </c>
      <c r="B53" t="s">
        <v>24</v>
      </c>
      <c r="C53" t="s">
        <v>22</v>
      </c>
      <c r="D53" s="2">
        <v>3.7090000000000001</v>
      </c>
      <c r="E53" s="2">
        <f t="shared" si="0"/>
        <v>0.33718181818181819</v>
      </c>
      <c r="F53">
        <v>35.014000000000003</v>
      </c>
      <c r="G53" s="2">
        <f t="shared" si="1"/>
        <v>3.1830909090909092</v>
      </c>
      <c r="H53" t="s">
        <v>8</v>
      </c>
      <c r="I53" t="s">
        <v>9</v>
      </c>
      <c r="J53" t="str">
        <f t="shared" si="2"/>
        <v>Cmmm    (65) (Cmmm (65))</v>
      </c>
      <c r="K53">
        <v>6.3239999999999998</v>
      </c>
      <c r="L53" s="2">
        <f>K53/11</f>
        <v>0.57490909090909093</v>
      </c>
      <c r="M53" s="2">
        <v>35.412999999999997</v>
      </c>
      <c r="N53" s="2">
        <f t="shared" si="3"/>
        <v>3.219363636363636</v>
      </c>
      <c r="O53" t="str">
        <f>TEXT(N53,"0.000")&amp;" ("&amp;(TEXT(G53,"0.000")&amp;")")</f>
        <v>3.219 (3.183)</v>
      </c>
    </row>
    <row r="54" spans="1:15" x14ac:dyDescent="0.35">
      <c r="A54">
        <v>40</v>
      </c>
      <c r="B54" t="s">
        <v>21</v>
      </c>
      <c r="C54" t="s">
        <v>22</v>
      </c>
      <c r="D54" s="2">
        <v>3.7090000000000001</v>
      </c>
      <c r="E54" s="2">
        <f t="shared" si="0"/>
        <v>0.33718181818181819</v>
      </c>
      <c r="F54">
        <v>35.014000000000003</v>
      </c>
      <c r="G54" s="2">
        <f t="shared" si="1"/>
        <v>3.1830909090909092</v>
      </c>
      <c r="H54" t="s">
        <v>8</v>
      </c>
      <c r="I54" t="s">
        <v>9</v>
      </c>
      <c r="J54" t="str">
        <f t="shared" si="2"/>
        <v>Cmmm    (65) (Cmmm (65))</v>
      </c>
      <c r="K54">
        <v>6.3250000000000002</v>
      </c>
      <c r="L54" s="2">
        <f>K54/11</f>
        <v>0.57500000000000007</v>
      </c>
      <c r="M54" s="2">
        <v>35.414999999999999</v>
      </c>
      <c r="N54" s="2">
        <f t="shared" si="3"/>
        <v>3.2195454545454543</v>
      </c>
      <c r="O54" t="str">
        <f>TEXT(N54,"0.000")&amp;" ("&amp;(TEXT(G54,"0.000")&amp;")")</f>
        <v>3.220 (3.183)</v>
      </c>
    </row>
    <row r="55" spans="1:15" x14ac:dyDescent="0.35">
      <c r="A55">
        <v>57</v>
      </c>
      <c r="B55" t="s">
        <v>21</v>
      </c>
      <c r="C55" t="s">
        <v>22</v>
      </c>
      <c r="D55" s="2">
        <v>3.7090000000000001</v>
      </c>
      <c r="E55" s="2">
        <f t="shared" si="0"/>
        <v>0.33718181818181819</v>
      </c>
      <c r="F55">
        <v>35.014000000000003</v>
      </c>
      <c r="G55" s="2">
        <f t="shared" si="1"/>
        <v>3.1830909090909092</v>
      </c>
      <c r="H55" t="s">
        <v>8</v>
      </c>
      <c r="I55" t="s">
        <v>9</v>
      </c>
      <c r="J55" t="str">
        <f t="shared" si="2"/>
        <v>Cmmm    (65) (Cmmm (65))</v>
      </c>
      <c r="K55">
        <v>6.3250000000000002</v>
      </c>
      <c r="L55" s="2">
        <f>K55/11</f>
        <v>0.57500000000000007</v>
      </c>
      <c r="M55" s="2">
        <v>35.412999999999997</v>
      </c>
      <c r="N55" s="2">
        <f t="shared" si="3"/>
        <v>3.219363636363636</v>
      </c>
      <c r="O55" t="str">
        <f>TEXT(N55,"0.000")&amp;" ("&amp;(TEXT(G55,"0.000")&amp;")")</f>
        <v>3.219 (3.183)</v>
      </c>
    </row>
    <row r="56" spans="1:15" x14ac:dyDescent="0.35">
      <c r="A56">
        <v>101</v>
      </c>
      <c r="B56" t="s">
        <v>23</v>
      </c>
      <c r="C56" t="s">
        <v>22</v>
      </c>
      <c r="D56" s="2">
        <v>4.577</v>
      </c>
      <c r="E56" s="2">
        <f t="shared" si="0"/>
        <v>0.41609090909090907</v>
      </c>
      <c r="F56">
        <v>35.009</v>
      </c>
      <c r="G56" s="2">
        <f t="shared" si="1"/>
        <v>3.1826363636363637</v>
      </c>
      <c r="H56" t="s">
        <v>8</v>
      </c>
      <c r="I56" t="s">
        <v>9</v>
      </c>
      <c r="J56" t="str">
        <f t="shared" si="2"/>
        <v>Cmmm    (65) (Cmmm (65))</v>
      </c>
      <c r="K56">
        <v>6.3250000000000002</v>
      </c>
      <c r="L56" s="2">
        <f>K56/11</f>
        <v>0.57500000000000007</v>
      </c>
      <c r="M56" s="2">
        <v>35.411999999999999</v>
      </c>
      <c r="N56" s="2">
        <f t="shared" si="3"/>
        <v>3.2192727272727271</v>
      </c>
      <c r="O56" t="str">
        <f>TEXT(N56,"0.000")&amp;" ("&amp;(TEXT(G56,"0.000")&amp;")")</f>
        <v>3.219 (3.183)</v>
      </c>
    </row>
    <row r="57" spans="1:15" x14ac:dyDescent="0.35">
      <c r="A57">
        <v>105</v>
      </c>
      <c r="B57" t="s">
        <v>23</v>
      </c>
      <c r="C57" t="s">
        <v>22</v>
      </c>
      <c r="D57" s="2">
        <v>5.1360000000000001</v>
      </c>
      <c r="E57" s="2">
        <f t="shared" si="0"/>
        <v>0.46690909090909094</v>
      </c>
      <c r="F57">
        <v>35.683</v>
      </c>
      <c r="G57" s="2">
        <f t="shared" si="1"/>
        <v>3.2439090909090909</v>
      </c>
      <c r="H57" t="s">
        <v>29</v>
      </c>
      <c r="I57" t="s">
        <v>9</v>
      </c>
      <c r="J57" t="str">
        <f t="shared" si="2"/>
        <v>Cmmm    (65) (P6/mmm (191))</v>
      </c>
      <c r="K57">
        <v>6.3250000000000002</v>
      </c>
      <c r="L57" s="2">
        <f>K57/11</f>
        <v>0.57500000000000007</v>
      </c>
      <c r="M57" s="2">
        <v>35.414000000000001</v>
      </c>
      <c r="N57" s="2">
        <f t="shared" si="3"/>
        <v>3.2194545454545458</v>
      </c>
      <c r="O57" t="str">
        <f>TEXT(N57,"0.000")&amp;" ("&amp;(TEXT(G57,"0.000")&amp;")")</f>
        <v>3.219 (3.244)</v>
      </c>
    </row>
    <row r="58" spans="1:15" x14ac:dyDescent="0.35">
      <c r="A58">
        <v>110</v>
      </c>
      <c r="B58" t="s">
        <v>24</v>
      </c>
      <c r="C58" t="s">
        <v>22</v>
      </c>
      <c r="D58" s="2">
        <v>5.6230000000000002</v>
      </c>
      <c r="E58" s="2">
        <f t="shared" si="0"/>
        <v>0.51118181818181818</v>
      </c>
      <c r="F58">
        <v>35.720999999999997</v>
      </c>
      <c r="G58" s="2">
        <f t="shared" si="1"/>
        <v>3.247363636363636</v>
      </c>
      <c r="H58" t="s">
        <v>28</v>
      </c>
      <c r="I58" t="s">
        <v>9</v>
      </c>
      <c r="J58" t="str">
        <f t="shared" si="2"/>
        <v>Cmmm    (65) (P4/mmm (123))</v>
      </c>
      <c r="K58">
        <v>6.3250000000000002</v>
      </c>
      <c r="L58" s="2">
        <f>K58/11</f>
        <v>0.57500000000000007</v>
      </c>
      <c r="M58" s="2">
        <v>35.414999999999999</v>
      </c>
      <c r="N58" s="2">
        <f t="shared" si="3"/>
        <v>3.2195454545454543</v>
      </c>
      <c r="O58" t="str">
        <f>TEXT(N58,"0.000")&amp;" ("&amp;(TEXT(G58,"0.000")&amp;")")</f>
        <v>3.220 (3.247)</v>
      </c>
    </row>
    <row r="59" spans="1:15" x14ac:dyDescent="0.35">
      <c r="A59">
        <v>124</v>
      </c>
      <c r="B59" t="s">
        <v>23</v>
      </c>
      <c r="C59" t="s">
        <v>22</v>
      </c>
      <c r="D59" s="2">
        <v>3.7090000000000001</v>
      </c>
      <c r="E59" s="2">
        <f t="shared" si="0"/>
        <v>0.33718181818181819</v>
      </c>
      <c r="F59">
        <v>35.012999999999998</v>
      </c>
      <c r="G59" s="2">
        <f t="shared" si="1"/>
        <v>3.1829999999999998</v>
      </c>
      <c r="H59" t="s">
        <v>8</v>
      </c>
      <c r="I59" t="s">
        <v>9</v>
      </c>
      <c r="J59" t="str">
        <f t="shared" si="2"/>
        <v>Cmmm    (65) (Cmmm (65))</v>
      </c>
      <c r="K59">
        <v>6.3250000000000002</v>
      </c>
      <c r="L59" s="2">
        <f>K59/11</f>
        <v>0.57500000000000007</v>
      </c>
      <c r="M59" s="2">
        <v>35.412999999999997</v>
      </c>
      <c r="N59" s="2">
        <f t="shared" si="3"/>
        <v>3.219363636363636</v>
      </c>
      <c r="O59" t="str">
        <f>TEXT(N59,"0.000")&amp;" ("&amp;(TEXT(G59,"0.000")&amp;")")</f>
        <v>3.219 (3.183)</v>
      </c>
    </row>
    <row r="60" spans="1:15" x14ac:dyDescent="0.35">
      <c r="A60">
        <v>159</v>
      </c>
      <c r="B60" t="s">
        <v>21</v>
      </c>
      <c r="C60" t="s">
        <v>22</v>
      </c>
      <c r="D60" s="2">
        <v>3.7090000000000001</v>
      </c>
      <c r="E60" s="2">
        <f t="shared" si="0"/>
        <v>0.33718181818181819</v>
      </c>
      <c r="F60">
        <v>35.014000000000003</v>
      </c>
      <c r="G60" s="2">
        <f t="shared" si="1"/>
        <v>3.1830909090909092</v>
      </c>
      <c r="H60" t="s">
        <v>8</v>
      </c>
      <c r="I60" t="s">
        <v>9</v>
      </c>
      <c r="J60" t="str">
        <f t="shared" si="2"/>
        <v>Cmmm    (65) (Cmmm (65))</v>
      </c>
      <c r="K60">
        <v>6.3250000000000002</v>
      </c>
      <c r="L60" s="2">
        <f>K60/11</f>
        <v>0.57500000000000007</v>
      </c>
      <c r="M60" s="2">
        <v>35.414000000000001</v>
      </c>
      <c r="N60" s="2">
        <f t="shared" si="3"/>
        <v>3.2194545454545458</v>
      </c>
      <c r="O60" t="str">
        <f>TEXT(N60,"0.000")&amp;" ("&amp;(TEXT(G60,"0.000")&amp;")")</f>
        <v>3.219 (3.183)</v>
      </c>
    </row>
    <row r="61" spans="1:15" x14ac:dyDescent="0.35">
      <c r="A61">
        <v>172</v>
      </c>
      <c r="B61" t="s">
        <v>21</v>
      </c>
      <c r="C61" t="s">
        <v>22</v>
      </c>
      <c r="D61" s="2">
        <v>3.7090000000000001</v>
      </c>
      <c r="E61" s="2">
        <f t="shared" si="0"/>
        <v>0.33718181818181819</v>
      </c>
      <c r="F61">
        <v>35.012999999999998</v>
      </c>
      <c r="G61" s="2">
        <f t="shared" si="1"/>
        <v>3.1829999999999998</v>
      </c>
      <c r="H61" t="s">
        <v>8</v>
      </c>
      <c r="I61" t="s">
        <v>9</v>
      </c>
      <c r="J61" t="str">
        <f t="shared" si="2"/>
        <v>Cmmm    (65) (Cmmm (65))</v>
      </c>
      <c r="K61">
        <v>6.3250000000000002</v>
      </c>
      <c r="L61" s="2">
        <f>K61/11</f>
        <v>0.57500000000000007</v>
      </c>
      <c r="M61" s="2">
        <v>35.414000000000001</v>
      </c>
      <c r="N61" s="2">
        <f t="shared" si="3"/>
        <v>3.2194545454545458</v>
      </c>
      <c r="O61" t="str">
        <f>TEXT(N61,"0.000")&amp;" ("&amp;(TEXT(G61,"0.000")&amp;")")</f>
        <v>3.219 (3.183)</v>
      </c>
    </row>
    <row r="62" spans="1:15" x14ac:dyDescent="0.35">
      <c r="A62">
        <v>207</v>
      </c>
      <c r="B62" t="s">
        <v>21</v>
      </c>
      <c r="C62" t="s">
        <v>22</v>
      </c>
      <c r="D62" s="2">
        <v>3.7090000000000001</v>
      </c>
      <c r="E62" s="2">
        <f t="shared" si="0"/>
        <v>0.33718181818181819</v>
      </c>
      <c r="F62">
        <v>35.012999999999998</v>
      </c>
      <c r="G62" s="2">
        <f t="shared" si="1"/>
        <v>3.1829999999999998</v>
      </c>
      <c r="H62" t="s">
        <v>8</v>
      </c>
      <c r="I62" t="s">
        <v>9</v>
      </c>
      <c r="J62" t="str">
        <f t="shared" si="2"/>
        <v>Cmmm    (65) (Cmmm (65))</v>
      </c>
      <c r="K62">
        <v>6.3250000000000002</v>
      </c>
      <c r="L62" s="2">
        <f>K62/11</f>
        <v>0.57500000000000007</v>
      </c>
      <c r="M62" s="2">
        <v>35.414000000000001</v>
      </c>
      <c r="N62" s="2">
        <f t="shared" si="3"/>
        <v>3.2194545454545458</v>
      </c>
      <c r="O62" t="str">
        <f>TEXT(N62,"0.000")&amp;" ("&amp;(TEXT(G62,"0.000")&amp;")")</f>
        <v>3.219 (3.183)</v>
      </c>
    </row>
    <row r="63" spans="1:15" x14ac:dyDescent="0.35">
      <c r="A63">
        <v>211</v>
      </c>
      <c r="B63" t="s">
        <v>21</v>
      </c>
      <c r="C63" t="s">
        <v>22</v>
      </c>
      <c r="D63" s="2">
        <v>3.7090000000000001</v>
      </c>
      <c r="E63" s="2">
        <f t="shared" si="0"/>
        <v>0.33718181818181819</v>
      </c>
      <c r="F63">
        <v>35.014000000000003</v>
      </c>
      <c r="G63" s="2">
        <f t="shared" si="1"/>
        <v>3.1830909090909092</v>
      </c>
      <c r="H63" t="s">
        <v>8</v>
      </c>
      <c r="I63" t="s">
        <v>9</v>
      </c>
      <c r="J63" t="str">
        <f t="shared" si="2"/>
        <v>Cmmm    (65) (Cmmm (65))</v>
      </c>
      <c r="K63">
        <v>6.3250000000000002</v>
      </c>
      <c r="L63" s="2">
        <f>K63/11</f>
        <v>0.57500000000000007</v>
      </c>
      <c r="M63" s="2">
        <v>35.414000000000001</v>
      </c>
      <c r="N63" s="2">
        <f t="shared" si="3"/>
        <v>3.2194545454545458</v>
      </c>
      <c r="O63" t="str">
        <f>TEXT(N63,"0.000")&amp;" ("&amp;(TEXT(G63,"0.000")&amp;")")</f>
        <v>3.219 (3.183)</v>
      </c>
    </row>
    <row r="64" spans="1:15" x14ac:dyDescent="0.35">
      <c r="A64">
        <v>0</v>
      </c>
      <c r="B64" t="s">
        <v>23</v>
      </c>
      <c r="C64" t="s">
        <v>22</v>
      </c>
      <c r="D64" s="2">
        <v>3.7090000000000001</v>
      </c>
      <c r="E64" s="2">
        <f t="shared" si="0"/>
        <v>0.33718181818181819</v>
      </c>
      <c r="F64">
        <v>35.014000000000003</v>
      </c>
      <c r="G64" s="2">
        <f t="shared" si="1"/>
        <v>3.1830909090909092</v>
      </c>
      <c r="H64" t="s">
        <v>8</v>
      </c>
      <c r="I64" t="s">
        <v>9</v>
      </c>
      <c r="J64" t="str">
        <f t="shared" si="2"/>
        <v>Cmmm    (65) (Cmmm (65))</v>
      </c>
      <c r="K64">
        <v>6.3259999999999996</v>
      </c>
      <c r="L64" s="2">
        <f>K64/11</f>
        <v>0.5750909090909091</v>
      </c>
      <c r="M64" s="2">
        <v>35.414000000000001</v>
      </c>
      <c r="N64" s="2">
        <f t="shared" si="3"/>
        <v>3.2194545454545458</v>
      </c>
      <c r="O64" t="str">
        <f>TEXT(N64,"0.000")&amp;" ("&amp;(TEXT(G64,"0.000")&amp;")")</f>
        <v>3.219 (3.183)</v>
      </c>
    </row>
    <row r="65" spans="1:15" x14ac:dyDescent="0.35">
      <c r="A65">
        <v>5</v>
      </c>
      <c r="B65" t="s">
        <v>23</v>
      </c>
      <c r="C65" t="s">
        <v>22</v>
      </c>
      <c r="D65" s="2">
        <v>3.7090000000000001</v>
      </c>
      <c r="E65" s="2">
        <f t="shared" si="0"/>
        <v>0.33718181818181819</v>
      </c>
      <c r="F65">
        <v>35.012999999999998</v>
      </c>
      <c r="G65" s="2">
        <f t="shared" si="1"/>
        <v>3.1829999999999998</v>
      </c>
      <c r="H65" t="s">
        <v>8</v>
      </c>
      <c r="I65" t="s">
        <v>9</v>
      </c>
      <c r="J65" t="str">
        <f t="shared" si="2"/>
        <v>Cmmm    (65) (Cmmm (65))</v>
      </c>
      <c r="K65">
        <v>6.3259999999999996</v>
      </c>
      <c r="L65" s="2">
        <f>K65/11</f>
        <v>0.5750909090909091</v>
      </c>
      <c r="M65" s="2">
        <v>35.414000000000001</v>
      </c>
      <c r="N65" s="2">
        <f t="shared" si="3"/>
        <v>3.2194545454545458</v>
      </c>
      <c r="O65" t="str">
        <f>TEXT(N65,"0.000")&amp;" ("&amp;(TEXT(G65,"0.000")&amp;")")</f>
        <v>3.219 (3.183)</v>
      </c>
    </row>
    <row r="66" spans="1:15" x14ac:dyDescent="0.35">
      <c r="A66">
        <v>24</v>
      </c>
      <c r="B66" t="s">
        <v>23</v>
      </c>
      <c r="C66" t="s">
        <v>22</v>
      </c>
      <c r="D66" s="2">
        <v>4.91</v>
      </c>
      <c r="E66" s="2">
        <f t="shared" si="0"/>
        <v>0.44636363636363635</v>
      </c>
      <c r="F66">
        <v>36.28</v>
      </c>
      <c r="G66" s="2">
        <f t="shared" si="1"/>
        <v>3.2981818181818183</v>
      </c>
      <c r="H66" t="s">
        <v>30</v>
      </c>
      <c r="I66" t="s">
        <v>9</v>
      </c>
      <c r="J66" t="str">
        <f t="shared" si="2"/>
        <v>Cmmm    (65) (P-62m (189))</v>
      </c>
      <c r="K66">
        <v>6.3259999999999996</v>
      </c>
      <c r="L66" s="2">
        <f>K66/11</f>
        <v>0.5750909090909091</v>
      </c>
      <c r="M66" s="2">
        <v>35.414000000000001</v>
      </c>
      <c r="N66" s="2">
        <f t="shared" si="3"/>
        <v>3.2194545454545458</v>
      </c>
      <c r="O66" t="str">
        <f>TEXT(N66,"0.000")&amp;" ("&amp;(TEXT(G66,"0.000")&amp;")")</f>
        <v>3.219 (3.298)</v>
      </c>
    </row>
    <row r="67" spans="1:15" x14ac:dyDescent="0.35">
      <c r="A67">
        <v>28</v>
      </c>
      <c r="B67" t="s">
        <v>23</v>
      </c>
      <c r="C67" t="s">
        <v>22</v>
      </c>
      <c r="D67" s="2">
        <v>3.7090000000000001</v>
      </c>
      <c r="E67" s="2">
        <f t="shared" ref="E67:E130" si="4">D67/11</f>
        <v>0.33718181818181819</v>
      </c>
      <c r="F67">
        <v>35.012999999999998</v>
      </c>
      <c r="G67" s="2">
        <f t="shared" ref="G67:G130" si="5">F67/11</f>
        <v>3.1829999999999998</v>
      </c>
      <c r="H67" t="s">
        <v>8</v>
      </c>
      <c r="I67" t="s">
        <v>9</v>
      </c>
      <c r="J67" t="str">
        <f t="shared" ref="J67:J130" si="6">TEXT(I67,"0.000")&amp;" ("&amp;(TEXT(H67,"0.000")&amp;")")</f>
        <v>Cmmm    (65) (Cmmm (65))</v>
      </c>
      <c r="K67">
        <v>6.3259999999999996</v>
      </c>
      <c r="L67" s="2">
        <f>K67/11</f>
        <v>0.5750909090909091</v>
      </c>
      <c r="M67" s="2">
        <v>35.411999999999999</v>
      </c>
      <c r="N67" s="2">
        <f t="shared" ref="N67:N130" si="7">M67/11</f>
        <v>3.2192727272727271</v>
      </c>
      <c r="O67" t="str">
        <f>TEXT(N67,"0.000")&amp;" ("&amp;(TEXT(G67,"0.000")&amp;")")</f>
        <v>3.219 (3.183)</v>
      </c>
    </row>
    <row r="68" spans="1:15" x14ac:dyDescent="0.35">
      <c r="A68">
        <v>36</v>
      </c>
      <c r="B68" t="s">
        <v>21</v>
      </c>
      <c r="C68" t="s">
        <v>22</v>
      </c>
      <c r="D68" s="2">
        <v>3.7090000000000001</v>
      </c>
      <c r="E68" s="2">
        <f t="shared" si="4"/>
        <v>0.33718181818181819</v>
      </c>
      <c r="F68">
        <v>35.012999999999998</v>
      </c>
      <c r="G68" s="2">
        <f t="shared" si="5"/>
        <v>3.1829999999999998</v>
      </c>
      <c r="H68" t="s">
        <v>8</v>
      </c>
      <c r="I68" t="s">
        <v>9</v>
      </c>
      <c r="J68" t="str">
        <f t="shared" si="6"/>
        <v>Cmmm    (65) (Cmmm (65))</v>
      </c>
      <c r="K68">
        <v>6.3259999999999996</v>
      </c>
      <c r="L68" s="2">
        <f>K68/11</f>
        <v>0.5750909090909091</v>
      </c>
      <c r="M68" s="2">
        <v>35.414000000000001</v>
      </c>
      <c r="N68" s="2">
        <f t="shared" si="7"/>
        <v>3.2194545454545458</v>
      </c>
      <c r="O68" t="str">
        <f>TEXT(N68,"0.000")&amp;" ("&amp;(TEXT(G68,"0.000")&amp;")")</f>
        <v>3.219 (3.183)</v>
      </c>
    </row>
    <row r="69" spans="1:15" x14ac:dyDescent="0.35">
      <c r="A69">
        <v>41</v>
      </c>
      <c r="B69" t="s">
        <v>21</v>
      </c>
      <c r="C69" t="s">
        <v>22</v>
      </c>
      <c r="D69" s="2">
        <v>3.7090000000000001</v>
      </c>
      <c r="E69" s="2">
        <f t="shared" si="4"/>
        <v>0.33718181818181819</v>
      </c>
      <c r="F69">
        <v>35.012999999999998</v>
      </c>
      <c r="G69" s="2">
        <f t="shared" si="5"/>
        <v>3.1829999999999998</v>
      </c>
      <c r="H69" t="s">
        <v>8</v>
      </c>
      <c r="I69" t="s">
        <v>9</v>
      </c>
      <c r="J69" t="str">
        <f t="shared" si="6"/>
        <v>Cmmm    (65) (Cmmm (65))</v>
      </c>
      <c r="K69">
        <v>6.3259999999999996</v>
      </c>
      <c r="L69" s="2">
        <f>K69/11</f>
        <v>0.5750909090909091</v>
      </c>
      <c r="M69" s="2">
        <v>35.414000000000001</v>
      </c>
      <c r="N69" s="2">
        <f t="shared" si="7"/>
        <v>3.2194545454545458</v>
      </c>
      <c r="O69" t="str">
        <f>TEXT(N69,"0.000")&amp;" ("&amp;(TEXT(G69,"0.000")&amp;")")</f>
        <v>3.219 (3.183)</v>
      </c>
    </row>
    <row r="70" spans="1:15" x14ac:dyDescent="0.35">
      <c r="A70">
        <v>53</v>
      </c>
      <c r="B70" t="s">
        <v>24</v>
      </c>
      <c r="C70" t="s">
        <v>22</v>
      </c>
      <c r="D70" s="2">
        <v>3.7090000000000001</v>
      </c>
      <c r="E70" s="2">
        <f t="shared" si="4"/>
        <v>0.33718181818181819</v>
      </c>
      <c r="F70">
        <v>35.012999999999998</v>
      </c>
      <c r="G70" s="2">
        <f t="shared" si="5"/>
        <v>3.1829999999999998</v>
      </c>
      <c r="H70" t="s">
        <v>8</v>
      </c>
      <c r="I70" t="s">
        <v>9</v>
      </c>
      <c r="J70" t="str">
        <f t="shared" si="6"/>
        <v>Cmmm    (65) (Cmmm (65))</v>
      </c>
      <c r="K70">
        <v>6.3259999999999996</v>
      </c>
      <c r="L70" s="2">
        <f>K70/11</f>
        <v>0.5750909090909091</v>
      </c>
      <c r="M70" s="2">
        <v>35.412999999999997</v>
      </c>
      <c r="N70" s="2">
        <f t="shared" si="7"/>
        <v>3.219363636363636</v>
      </c>
      <c r="O70" t="str">
        <f>TEXT(N70,"0.000")&amp;" ("&amp;(TEXT(G70,"0.000")&amp;")")</f>
        <v>3.219 (3.183)</v>
      </c>
    </row>
    <row r="71" spans="1:15" x14ac:dyDescent="0.35">
      <c r="A71">
        <v>74</v>
      </c>
      <c r="B71" t="s">
        <v>21</v>
      </c>
      <c r="C71" t="s">
        <v>22</v>
      </c>
      <c r="D71" s="2">
        <v>3.7090000000000001</v>
      </c>
      <c r="E71" s="2">
        <f t="shared" si="4"/>
        <v>0.33718181818181819</v>
      </c>
      <c r="F71">
        <v>35.014000000000003</v>
      </c>
      <c r="G71" s="2">
        <f t="shared" si="5"/>
        <v>3.1830909090909092</v>
      </c>
      <c r="H71" t="s">
        <v>8</v>
      </c>
      <c r="I71" t="s">
        <v>9</v>
      </c>
      <c r="J71" t="str">
        <f t="shared" si="6"/>
        <v>Cmmm    (65) (Cmmm (65))</v>
      </c>
      <c r="K71">
        <v>6.3259999999999996</v>
      </c>
      <c r="L71" s="2">
        <f>K71/11</f>
        <v>0.5750909090909091</v>
      </c>
      <c r="M71" s="2">
        <v>35.414999999999999</v>
      </c>
      <c r="N71" s="2">
        <f t="shared" si="7"/>
        <v>3.2195454545454543</v>
      </c>
      <c r="O71" t="str">
        <f>TEXT(N71,"0.000")&amp;" ("&amp;(TEXT(G71,"0.000")&amp;")")</f>
        <v>3.220 (3.183)</v>
      </c>
    </row>
    <row r="72" spans="1:15" x14ac:dyDescent="0.35">
      <c r="A72">
        <v>79</v>
      </c>
      <c r="B72" t="s">
        <v>21</v>
      </c>
      <c r="C72" t="s">
        <v>22</v>
      </c>
      <c r="D72" s="2">
        <v>3.7090000000000001</v>
      </c>
      <c r="E72" s="2">
        <f t="shared" si="4"/>
        <v>0.33718181818181819</v>
      </c>
      <c r="F72">
        <v>35.012999999999998</v>
      </c>
      <c r="G72" s="2">
        <f t="shared" si="5"/>
        <v>3.1829999999999998</v>
      </c>
      <c r="H72" t="s">
        <v>8</v>
      </c>
      <c r="I72" t="s">
        <v>9</v>
      </c>
      <c r="J72" t="str">
        <f t="shared" si="6"/>
        <v>Cmmm    (65) (Cmmm (65))</v>
      </c>
      <c r="K72">
        <v>6.3259999999999996</v>
      </c>
      <c r="L72" s="2">
        <f>K72/11</f>
        <v>0.5750909090909091</v>
      </c>
      <c r="M72" s="2">
        <v>35.412999999999997</v>
      </c>
      <c r="N72" s="2">
        <f t="shared" si="7"/>
        <v>3.219363636363636</v>
      </c>
      <c r="O72" t="str">
        <f>TEXT(N72,"0.000")&amp;" ("&amp;(TEXT(G72,"0.000")&amp;")")</f>
        <v>3.219 (3.183)</v>
      </c>
    </row>
    <row r="73" spans="1:15" x14ac:dyDescent="0.35">
      <c r="A73">
        <v>83</v>
      </c>
      <c r="B73" t="s">
        <v>21</v>
      </c>
      <c r="C73" t="s">
        <v>22</v>
      </c>
      <c r="D73" s="2">
        <v>3.7090000000000001</v>
      </c>
      <c r="E73" s="2">
        <f t="shared" si="4"/>
        <v>0.33718181818181819</v>
      </c>
      <c r="F73">
        <v>35.012999999999998</v>
      </c>
      <c r="G73" s="2">
        <f t="shared" si="5"/>
        <v>3.1829999999999998</v>
      </c>
      <c r="H73" t="s">
        <v>8</v>
      </c>
      <c r="I73" t="s">
        <v>9</v>
      </c>
      <c r="J73" t="str">
        <f t="shared" si="6"/>
        <v>Cmmm    (65) (Cmmm (65))</v>
      </c>
      <c r="K73">
        <v>6.3259999999999996</v>
      </c>
      <c r="L73" s="2">
        <f>K73/11</f>
        <v>0.5750909090909091</v>
      </c>
      <c r="M73" s="2">
        <v>35.412999999999997</v>
      </c>
      <c r="N73" s="2">
        <f t="shared" si="7"/>
        <v>3.219363636363636</v>
      </c>
      <c r="O73" t="str">
        <f>TEXT(N73,"0.000")&amp;" ("&amp;(TEXT(G73,"0.000")&amp;")")</f>
        <v>3.219 (3.183)</v>
      </c>
    </row>
    <row r="74" spans="1:15" x14ac:dyDescent="0.35">
      <c r="A74">
        <v>92</v>
      </c>
      <c r="B74" t="s">
        <v>21</v>
      </c>
      <c r="C74" t="s">
        <v>22</v>
      </c>
      <c r="D74" s="2">
        <v>3.7090000000000001</v>
      </c>
      <c r="E74" s="2">
        <f t="shared" si="4"/>
        <v>0.33718181818181819</v>
      </c>
      <c r="F74">
        <v>35.012999999999998</v>
      </c>
      <c r="G74" s="2">
        <f t="shared" si="5"/>
        <v>3.1829999999999998</v>
      </c>
      <c r="H74" t="s">
        <v>8</v>
      </c>
      <c r="I74" t="s">
        <v>9</v>
      </c>
      <c r="J74" t="str">
        <f t="shared" si="6"/>
        <v>Cmmm    (65) (Cmmm (65))</v>
      </c>
      <c r="K74">
        <v>6.3259999999999996</v>
      </c>
      <c r="L74" s="2">
        <f>K74/11</f>
        <v>0.5750909090909091</v>
      </c>
      <c r="M74" s="2">
        <v>35.414000000000001</v>
      </c>
      <c r="N74" s="2">
        <f t="shared" si="7"/>
        <v>3.2194545454545458</v>
      </c>
      <c r="O74" t="str">
        <f>TEXT(N74,"0.000")&amp;" ("&amp;(TEXT(G74,"0.000")&amp;")")</f>
        <v>3.219 (3.183)</v>
      </c>
    </row>
    <row r="75" spans="1:15" x14ac:dyDescent="0.35">
      <c r="A75">
        <v>106</v>
      </c>
      <c r="B75" t="s">
        <v>23</v>
      </c>
      <c r="C75" t="s">
        <v>22</v>
      </c>
      <c r="D75" s="2">
        <v>6.8680000000000003</v>
      </c>
      <c r="E75" s="2">
        <f t="shared" si="4"/>
        <v>0.62436363636363634</v>
      </c>
      <c r="F75">
        <v>35.116</v>
      </c>
      <c r="G75" s="2">
        <f t="shared" si="5"/>
        <v>3.1923636363636363</v>
      </c>
      <c r="H75" t="s">
        <v>28</v>
      </c>
      <c r="I75" t="s">
        <v>9</v>
      </c>
      <c r="J75" t="str">
        <f t="shared" si="6"/>
        <v>Cmmm    (65) (P4/mmm (123))</v>
      </c>
      <c r="K75">
        <v>6.3259999999999996</v>
      </c>
      <c r="L75" s="2">
        <f>K75/11</f>
        <v>0.5750909090909091</v>
      </c>
      <c r="M75" s="2">
        <v>35.414000000000001</v>
      </c>
      <c r="N75" s="2">
        <f t="shared" si="7"/>
        <v>3.2194545454545458</v>
      </c>
      <c r="O75" t="str">
        <f>TEXT(N75,"0.000")&amp;" ("&amp;(TEXT(G75,"0.000")&amp;")")</f>
        <v>3.219 (3.192)</v>
      </c>
    </row>
    <row r="76" spans="1:15" x14ac:dyDescent="0.35">
      <c r="A76">
        <v>117</v>
      </c>
      <c r="B76" t="s">
        <v>21</v>
      </c>
      <c r="C76" t="s">
        <v>22</v>
      </c>
      <c r="D76" s="2">
        <v>5.0919999999999996</v>
      </c>
      <c r="E76" s="2">
        <f t="shared" si="4"/>
        <v>0.46290909090909088</v>
      </c>
      <c r="F76">
        <v>35.055999999999997</v>
      </c>
      <c r="G76" s="2">
        <f t="shared" si="5"/>
        <v>3.1869090909090905</v>
      </c>
      <c r="H76" t="s">
        <v>6</v>
      </c>
      <c r="I76" t="s">
        <v>9</v>
      </c>
      <c r="J76" t="str">
        <f t="shared" si="6"/>
        <v>Cmmm    (65) (C2 (5))</v>
      </c>
      <c r="K76">
        <v>6.3259999999999996</v>
      </c>
      <c r="L76" s="2">
        <f>K76/11</f>
        <v>0.5750909090909091</v>
      </c>
      <c r="M76" s="2">
        <v>35.411000000000001</v>
      </c>
      <c r="N76" s="2">
        <f t="shared" si="7"/>
        <v>3.2191818181818181</v>
      </c>
      <c r="O76" t="str">
        <f>TEXT(N76,"0.000")&amp;" ("&amp;(TEXT(G76,"0.000")&amp;")")</f>
        <v>3.219 (3.187)</v>
      </c>
    </row>
    <row r="77" spans="1:15" x14ac:dyDescent="0.35">
      <c r="A77">
        <v>134</v>
      </c>
      <c r="B77" t="s">
        <v>21</v>
      </c>
      <c r="C77" t="s">
        <v>22</v>
      </c>
      <c r="D77" s="2">
        <v>3.7090000000000001</v>
      </c>
      <c r="E77" s="2">
        <f t="shared" si="4"/>
        <v>0.33718181818181819</v>
      </c>
      <c r="F77">
        <v>35.014000000000003</v>
      </c>
      <c r="G77" s="2">
        <f t="shared" si="5"/>
        <v>3.1830909090909092</v>
      </c>
      <c r="H77" t="s">
        <v>8</v>
      </c>
      <c r="I77" t="s">
        <v>9</v>
      </c>
      <c r="J77" t="str">
        <f t="shared" si="6"/>
        <v>Cmmm    (65) (Cmmm (65))</v>
      </c>
      <c r="K77">
        <v>6.3259999999999996</v>
      </c>
      <c r="L77" s="2">
        <f>K77/11</f>
        <v>0.5750909090909091</v>
      </c>
      <c r="M77" s="2">
        <v>35.411999999999999</v>
      </c>
      <c r="N77" s="2">
        <f t="shared" si="7"/>
        <v>3.2192727272727271</v>
      </c>
      <c r="O77" t="str">
        <f>TEXT(N77,"0.000")&amp;" ("&amp;(TEXT(G77,"0.000")&amp;")")</f>
        <v>3.219 (3.183)</v>
      </c>
    </row>
    <row r="78" spans="1:15" x14ac:dyDescent="0.35">
      <c r="A78">
        <v>138</v>
      </c>
      <c r="B78" t="s">
        <v>21</v>
      </c>
      <c r="C78" t="s">
        <v>22</v>
      </c>
      <c r="D78" s="2">
        <v>3.7090000000000001</v>
      </c>
      <c r="E78" s="2">
        <f t="shared" si="4"/>
        <v>0.33718181818181819</v>
      </c>
      <c r="F78">
        <v>35.012</v>
      </c>
      <c r="G78" s="2">
        <f t="shared" si="5"/>
        <v>3.1829090909090909</v>
      </c>
      <c r="H78" t="s">
        <v>8</v>
      </c>
      <c r="I78" t="s">
        <v>9</v>
      </c>
      <c r="J78" t="str">
        <f t="shared" si="6"/>
        <v>Cmmm    (65) (Cmmm (65))</v>
      </c>
      <c r="K78">
        <v>6.3259999999999996</v>
      </c>
      <c r="L78" s="2">
        <f>K78/11</f>
        <v>0.5750909090909091</v>
      </c>
      <c r="M78" s="2">
        <v>35.414000000000001</v>
      </c>
      <c r="N78" s="2">
        <f t="shared" si="7"/>
        <v>3.2194545454545458</v>
      </c>
      <c r="O78" t="str">
        <f>TEXT(N78,"0.000")&amp;" ("&amp;(TEXT(G78,"0.000")&amp;")")</f>
        <v>3.219 (3.183)</v>
      </c>
    </row>
    <row r="79" spans="1:15" x14ac:dyDescent="0.35">
      <c r="A79">
        <v>142</v>
      </c>
      <c r="B79" t="s">
        <v>23</v>
      </c>
      <c r="C79" t="s">
        <v>22</v>
      </c>
      <c r="D79" s="2">
        <v>3.7090000000000001</v>
      </c>
      <c r="E79" s="2">
        <f t="shared" si="4"/>
        <v>0.33718181818181819</v>
      </c>
      <c r="F79">
        <v>35.014000000000003</v>
      </c>
      <c r="G79" s="2">
        <f t="shared" si="5"/>
        <v>3.1830909090909092</v>
      </c>
      <c r="H79" t="s">
        <v>8</v>
      </c>
      <c r="I79" t="s">
        <v>9</v>
      </c>
      <c r="J79" t="str">
        <f t="shared" si="6"/>
        <v>Cmmm    (65) (Cmmm (65))</v>
      </c>
      <c r="K79">
        <v>6.3259999999999996</v>
      </c>
      <c r="L79" s="2">
        <f>K79/11</f>
        <v>0.5750909090909091</v>
      </c>
      <c r="M79" s="2">
        <v>35.414000000000001</v>
      </c>
      <c r="N79" s="2">
        <f t="shared" si="7"/>
        <v>3.2194545454545458</v>
      </c>
      <c r="O79" t="str">
        <f>TEXT(N79,"0.000")&amp;" ("&amp;(TEXT(G79,"0.000")&amp;")")</f>
        <v>3.219 (3.183)</v>
      </c>
    </row>
    <row r="80" spans="1:15" x14ac:dyDescent="0.35">
      <c r="A80">
        <v>148</v>
      </c>
      <c r="B80" t="s">
        <v>24</v>
      </c>
      <c r="C80" t="s">
        <v>22</v>
      </c>
      <c r="D80" s="2">
        <v>3.7090000000000001</v>
      </c>
      <c r="E80" s="2">
        <f t="shared" si="4"/>
        <v>0.33718181818181819</v>
      </c>
      <c r="F80">
        <v>35.014000000000003</v>
      </c>
      <c r="G80" s="2">
        <f t="shared" si="5"/>
        <v>3.1830909090909092</v>
      </c>
      <c r="H80" t="s">
        <v>8</v>
      </c>
      <c r="I80" t="s">
        <v>9</v>
      </c>
      <c r="J80" t="str">
        <f t="shared" si="6"/>
        <v>Cmmm    (65) (Cmmm (65))</v>
      </c>
      <c r="K80">
        <v>6.3259999999999996</v>
      </c>
      <c r="L80" s="2">
        <f>K80/11</f>
        <v>0.5750909090909091</v>
      </c>
      <c r="M80" s="2">
        <v>35.412999999999997</v>
      </c>
      <c r="N80" s="2">
        <f t="shared" si="7"/>
        <v>3.219363636363636</v>
      </c>
      <c r="O80" t="str">
        <f>TEXT(N80,"0.000")&amp;" ("&amp;(TEXT(G80,"0.000")&amp;")")</f>
        <v>3.219 (3.183)</v>
      </c>
    </row>
    <row r="81" spans="1:15" x14ac:dyDescent="0.35">
      <c r="A81">
        <v>149</v>
      </c>
      <c r="B81" t="s">
        <v>24</v>
      </c>
      <c r="C81" t="s">
        <v>22</v>
      </c>
      <c r="D81" s="2">
        <v>3.7090000000000001</v>
      </c>
      <c r="E81" s="2">
        <f t="shared" si="4"/>
        <v>0.33718181818181819</v>
      </c>
      <c r="F81">
        <v>35.012</v>
      </c>
      <c r="G81" s="2">
        <f t="shared" si="5"/>
        <v>3.1829090909090909</v>
      </c>
      <c r="H81" t="s">
        <v>8</v>
      </c>
      <c r="I81" t="s">
        <v>9</v>
      </c>
      <c r="J81" t="str">
        <f t="shared" si="6"/>
        <v>Cmmm    (65) (Cmmm (65))</v>
      </c>
      <c r="K81">
        <v>6.3259999999999996</v>
      </c>
      <c r="L81" s="2">
        <f>K81/11</f>
        <v>0.5750909090909091</v>
      </c>
      <c r="M81" s="2">
        <v>35.414000000000001</v>
      </c>
      <c r="N81" s="2">
        <f t="shared" si="7"/>
        <v>3.2194545454545458</v>
      </c>
      <c r="O81" t="str">
        <f>TEXT(N81,"0.000")&amp;" ("&amp;(TEXT(G81,"0.000")&amp;")")</f>
        <v>3.219 (3.183)</v>
      </c>
    </row>
    <row r="82" spans="1:15" x14ac:dyDescent="0.35">
      <c r="A82">
        <v>155</v>
      </c>
      <c r="B82" t="s">
        <v>21</v>
      </c>
      <c r="C82" t="s">
        <v>22</v>
      </c>
      <c r="D82" s="2">
        <v>3.7090000000000001</v>
      </c>
      <c r="E82" s="2">
        <f t="shared" si="4"/>
        <v>0.33718181818181819</v>
      </c>
      <c r="F82">
        <v>35.012999999999998</v>
      </c>
      <c r="G82" s="2">
        <f t="shared" si="5"/>
        <v>3.1829999999999998</v>
      </c>
      <c r="H82" t="s">
        <v>8</v>
      </c>
      <c r="I82" t="s">
        <v>9</v>
      </c>
      <c r="J82" t="str">
        <f t="shared" si="6"/>
        <v>Cmmm    (65) (Cmmm (65))</v>
      </c>
      <c r="K82">
        <v>6.3259999999999996</v>
      </c>
      <c r="L82" s="2">
        <f>K82/11</f>
        <v>0.5750909090909091</v>
      </c>
      <c r="M82" s="2">
        <v>35.414999999999999</v>
      </c>
      <c r="N82" s="2">
        <f t="shared" si="7"/>
        <v>3.2195454545454543</v>
      </c>
      <c r="O82" t="str">
        <f>TEXT(N82,"0.000")&amp;" ("&amp;(TEXT(G82,"0.000")&amp;")")</f>
        <v>3.220 (3.183)</v>
      </c>
    </row>
    <row r="83" spans="1:15" x14ac:dyDescent="0.35">
      <c r="A83">
        <v>168</v>
      </c>
      <c r="B83" t="s">
        <v>24</v>
      </c>
      <c r="C83" t="s">
        <v>22</v>
      </c>
      <c r="D83" s="2">
        <v>3.7090000000000001</v>
      </c>
      <c r="E83" s="2">
        <f t="shared" si="4"/>
        <v>0.33718181818181819</v>
      </c>
      <c r="F83">
        <v>35.012999999999998</v>
      </c>
      <c r="G83" s="2">
        <f t="shared" si="5"/>
        <v>3.1829999999999998</v>
      </c>
      <c r="H83" t="s">
        <v>8</v>
      </c>
      <c r="I83" t="s">
        <v>9</v>
      </c>
      <c r="J83" t="str">
        <f t="shared" si="6"/>
        <v>Cmmm    (65) (Cmmm (65))</v>
      </c>
      <c r="K83">
        <v>6.3259999999999996</v>
      </c>
      <c r="L83" s="2">
        <f>K83/11</f>
        <v>0.5750909090909091</v>
      </c>
      <c r="M83" s="2">
        <v>35.414999999999999</v>
      </c>
      <c r="N83" s="2">
        <f t="shared" si="7"/>
        <v>3.2195454545454543</v>
      </c>
      <c r="O83" t="str">
        <f>TEXT(N83,"0.000")&amp;" ("&amp;(TEXT(G83,"0.000")&amp;")")</f>
        <v>3.220 (3.183)</v>
      </c>
    </row>
    <row r="84" spans="1:15" x14ac:dyDescent="0.35">
      <c r="A84">
        <v>176</v>
      </c>
      <c r="B84" t="s">
        <v>23</v>
      </c>
      <c r="C84" t="s">
        <v>22</v>
      </c>
      <c r="D84" s="2">
        <v>5.0629999999999997</v>
      </c>
      <c r="E84" s="2">
        <f t="shared" si="4"/>
        <v>0.46027272727272722</v>
      </c>
      <c r="F84">
        <v>35</v>
      </c>
      <c r="G84" s="2">
        <f t="shared" si="5"/>
        <v>3.1818181818181817</v>
      </c>
      <c r="H84" t="s">
        <v>11</v>
      </c>
      <c r="I84" t="s">
        <v>9</v>
      </c>
      <c r="J84" t="str">
        <f t="shared" si="6"/>
        <v>Cmmm    (65) (P1 (1))</v>
      </c>
      <c r="K84">
        <v>6.3259999999999996</v>
      </c>
      <c r="L84" s="2">
        <f>K84/11</f>
        <v>0.5750909090909091</v>
      </c>
      <c r="M84" s="2">
        <v>35.414000000000001</v>
      </c>
      <c r="N84" s="2">
        <f t="shared" si="7"/>
        <v>3.2194545454545458</v>
      </c>
      <c r="O84" t="str">
        <f>TEXT(N84,"0.000")&amp;" ("&amp;(TEXT(G84,"0.000")&amp;")")</f>
        <v>3.219 (3.182)</v>
      </c>
    </row>
    <row r="85" spans="1:15" x14ac:dyDescent="0.35">
      <c r="A85">
        <v>189</v>
      </c>
      <c r="B85" t="s">
        <v>21</v>
      </c>
      <c r="C85" t="s">
        <v>22</v>
      </c>
      <c r="D85" s="2">
        <v>3.7090000000000001</v>
      </c>
      <c r="E85" s="2">
        <f t="shared" si="4"/>
        <v>0.33718181818181819</v>
      </c>
      <c r="F85">
        <v>35.012999999999998</v>
      </c>
      <c r="G85" s="2">
        <f t="shared" si="5"/>
        <v>3.1829999999999998</v>
      </c>
      <c r="H85" t="s">
        <v>8</v>
      </c>
      <c r="I85" t="s">
        <v>9</v>
      </c>
      <c r="J85" t="str">
        <f t="shared" si="6"/>
        <v>Cmmm    (65) (Cmmm (65))</v>
      </c>
      <c r="K85">
        <v>6.3259999999999996</v>
      </c>
      <c r="L85" s="2">
        <f>K85/11</f>
        <v>0.5750909090909091</v>
      </c>
      <c r="M85" s="2">
        <v>35.414000000000001</v>
      </c>
      <c r="N85" s="2">
        <f t="shared" si="7"/>
        <v>3.2194545454545458</v>
      </c>
      <c r="O85" t="str">
        <f>TEXT(N85,"0.000")&amp;" ("&amp;(TEXT(G85,"0.000")&amp;")")</f>
        <v>3.219 (3.183)</v>
      </c>
    </row>
    <row r="86" spans="1:15" x14ac:dyDescent="0.35">
      <c r="A86">
        <v>190</v>
      </c>
      <c r="B86" t="s">
        <v>21</v>
      </c>
      <c r="C86" t="s">
        <v>22</v>
      </c>
      <c r="D86" s="2">
        <v>3.7090000000000001</v>
      </c>
      <c r="E86" s="2">
        <f t="shared" si="4"/>
        <v>0.33718181818181819</v>
      </c>
      <c r="F86">
        <v>35.014000000000003</v>
      </c>
      <c r="G86" s="2">
        <f t="shared" si="5"/>
        <v>3.1830909090909092</v>
      </c>
      <c r="H86" t="s">
        <v>8</v>
      </c>
      <c r="I86" t="s">
        <v>9</v>
      </c>
      <c r="J86" t="str">
        <f t="shared" si="6"/>
        <v>Cmmm    (65) (Cmmm (65))</v>
      </c>
      <c r="K86">
        <v>6.3259999999999996</v>
      </c>
      <c r="L86" s="2">
        <f>K86/11</f>
        <v>0.5750909090909091</v>
      </c>
      <c r="M86" s="2">
        <v>35.414000000000001</v>
      </c>
      <c r="N86" s="2">
        <f t="shared" si="7"/>
        <v>3.2194545454545458</v>
      </c>
      <c r="O86" t="str">
        <f>TEXT(N86,"0.000")&amp;" ("&amp;(TEXT(G86,"0.000")&amp;")")</f>
        <v>3.219 (3.183)</v>
      </c>
    </row>
    <row r="87" spans="1:15" x14ac:dyDescent="0.35">
      <c r="A87">
        <v>197</v>
      </c>
      <c r="B87" t="s">
        <v>24</v>
      </c>
      <c r="C87" t="s">
        <v>22</v>
      </c>
      <c r="D87" s="2">
        <v>3.7090000000000001</v>
      </c>
      <c r="E87" s="2">
        <f t="shared" si="4"/>
        <v>0.33718181818181819</v>
      </c>
      <c r="F87">
        <v>35.014000000000003</v>
      </c>
      <c r="G87" s="2">
        <f t="shared" si="5"/>
        <v>3.1830909090909092</v>
      </c>
      <c r="H87" t="s">
        <v>8</v>
      </c>
      <c r="I87" t="s">
        <v>9</v>
      </c>
      <c r="J87" t="str">
        <f t="shared" si="6"/>
        <v>Cmmm    (65) (Cmmm (65))</v>
      </c>
      <c r="K87">
        <v>6.3259999999999996</v>
      </c>
      <c r="L87" s="2">
        <f>K87/11</f>
        <v>0.5750909090909091</v>
      </c>
      <c r="M87" s="2">
        <v>35.412999999999997</v>
      </c>
      <c r="N87" s="2">
        <f t="shared" si="7"/>
        <v>3.219363636363636</v>
      </c>
      <c r="O87" t="str">
        <f>TEXT(N87,"0.000")&amp;" ("&amp;(TEXT(G87,"0.000")&amp;")")</f>
        <v>3.219 (3.183)</v>
      </c>
    </row>
    <row r="88" spans="1:15" x14ac:dyDescent="0.35">
      <c r="A88">
        <v>198</v>
      </c>
      <c r="B88" t="s">
        <v>24</v>
      </c>
      <c r="C88" t="s">
        <v>22</v>
      </c>
      <c r="D88" s="2">
        <v>3.7090000000000001</v>
      </c>
      <c r="E88" s="2">
        <f t="shared" si="4"/>
        <v>0.33718181818181819</v>
      </c>
      <c r="F88">
        <v>35.012999999999998</v>
      </c>
      <c r="G88" s="2">
        <f t="shared" si="5"/>
        <v>3.1829999999999998</v>
      </c>
      <c r="H88" t="s">
        <v>8</v>
      </c>
      <c r="I88" t="s">
        <v>9</v>
      </c>
      <c r="J88" t="str">
        <f t="shared" si="6"/>
        <v>Cmmm    (65) (Cmmm (65))</v>
      </c>
      <c r="K88">
        <v>6.3259999999999996</v>
      </c>
      <c r="L88" s="2">
        <f>K88/11</f>
        <v>0.5750909090909091</v>
      </c>
      <c r="M88" s="2">
        <v>35.414999999999999</v>
      </c>
      <c r="N88" s="2">
        <f t="shared" si="7"/>
        <v>3.2195454545454543</v>
      </c>
      <c r="O88" t="str">
        <f>TEXT(N88,"0.000")&amp;" ("&amp;(TEXT(G88,"0.000")&amp;")")</f>
        <v>3.220 (3.183)</v>
      </c>
    </row>
    <row r="89" spans="1:15" x14ac:dyDescent="0.35">
      <c r="A89">
        <v>206</v>
      </c>
      <c r="B89" t="s">
        <v>24</v>
      </c>
      <c r="C89" t="s">
        <v>22</v>
      </c>
      <c r="D89" s="2">
        <v>5.6230000000000002</v>
      </c>
      <c r="E89" s="2">
        <f t="shared" si="4"/>
        <v>0.51118181818181818</v>
      </c>
      <c r="F89">
        <v>35.720999999999997</v>
      </c>
      <c r="G89" s="2">
        <f t="shared" si="5"/>
        <v>3.247363636363636</v>
      </c>
      <c r="H89" t="s">
        <v>28</v>
      </c>
      <c r="I89" t="s">
        <v>9</v>
      </c>
      <c r="J89" t="str">
        <f t="shared" si="6"/>
        <v>Cmmm    (65) (P4/mmm (123))</v>
      </c>
      <c r="K89">
        <v>6.3259999999999996</v>
      </c>
      <c r="L89" s="2">
        <f>K89/11</f>
        <v>0.5750909090909091</v>
      </c>
      <c r="M89" s="2">
        <v>35.412999999999997</v>
      </c>
      <c r="N89" s="2">
        <f t="shared" si="7"/>
        <v>3.219363636363636</v>
      </c>
      <c r="O89" t="str">
        <f>TEXT(N89,"0.000")&amp;" ("&amp;(TEXT(G89,"0.000")&amp;")")</f>
        <v>3.219 (3.247)</v>
      </c>
    </row>
    <row r="90" spans="1:15" x14ac:dyDescent="0.35">
      <c r="A90">
        <v>209</v>
      </c>
      <c r="B90" t="s">
        <v>21</v>
      </c>
      <c r="C90" t="s">
        <v>22</v>
      </c>
      <c r="D90" s="2">
        <v>3.7090000000000001</v>
      </c>
      <c r="E90" s="2">
        <f t="shared" si="4"/>
        <v>0.33718181818181819</v>
      </c>
      <c r="F90">
        <v>35.014000000000003</v>
      </c>
      <c r="G90" s="2">
        <f t="shared" si="5"/>
        <v>3.1830909090909092</v>
      </c>
      <c r="H90" t="s">
        <v>8</v>
      </c>
      <c r="I90" t="s">
        <v>9</v>
      </c>
      <c r="J90" t="str">
        <f t="shared" si="6"/>
        <v>Cmmm    (65) (Cmmm (65))</v>
      </c>
      <c r="K90">
        <v>6.3259999999999996</v>
      </c>
      <c r="L90" s="2">
        <f>K90/11</f>
        <v>0.5750909090909091</v>
      </c>
      <c r="M90" s="2">
        <v>35.411999999999999</v>
      </c>
      <c r="N90" s="2">
        <f t="shared" si="7"/>
        <v>3.2192727272727271</v>
      </c>
      <c r="O90" t="str">
        <f>TEXT(N90,"0.000")&amp;" ("&amp;(TEXT(G90,"0.000")&amp;")")</f>
        <v>3.219 (3.183)</v>
      </c>
    </row>
    <row r="91" spans="1:15" x14ac:dyDescent="0.35">
      <c r="A91">
        <v>23</v>
      </c>
      <c r="B91" t="s">
        <v>23</v>
      </c>
      <c r="C91" t="s">
        <v>22</v>
      </c>
      <c r="D91" s="2">
        <v>3.7090000000000001</v>
      </c>
      <c r="E91" s="2">
        <f t="shared" si="4"/>
        <v>0.33718181818181819</v>
      </c>
      <c r="F91">
        <v>35.012999999999998</v>
      </c>
      <c r="G91" s="2">
        <f t="shared" si="5"/>
        <v>3.1829999999999998</v>
      </c>
      <c r="H91" t="s">
        <v>8</v>
      </c>
      <c r="I91" t="s">
        <v>9</v>
      </c>
      <c r="J91" t="str">
        <f t="shared" si="6"/>
        <v>Cmmm    (65) (Cmmm (65))</v>
      </c>
      <c r="K91">
        <v>6.327</v>
      </c>
      <c r="L91" s="2">
        <f>K91/11</f>
        <v>0.57518181818181813</v>
      </c>
      <c r="M91" s="2">
        <v>35.412999999999997</v>
      </c>
      <c r="N91" s="2">
        <f t="shared" si="7"/>
        <v>3.219363636363636</v>
      </c>
      <c r="O91" t="str">
        <f>TEXT(N91,"0.000")&amp;" ("&amp;(TEXT(G91,"0.000")&amp;")")</f>
        <v>3.219 (3.183)</v>
      </c>
    </row>
    <row r="92" spans="1:15" x14ac:dyDescent="0.35">
      <c r="A92">
        <v>34</v>
      </c>
      <c r="B92" t="s">
        <v>21</v>
      </c>
      <c r="C92" t="s">
        <v>22</v>
      </c>
      <c r="D92" s="2">
        <v>3.7090000000000001</v>
      </c>
      <c r="E92" s="2">
        <f t="shared" si="4"/>
        <v>0.33718181818181819</v>
      </c>
      <c r="F92">
        <v>35.014000000000003</v>
      </c>
      <c r="G92" s="2">
        <f t="shared" si="5"/>
        <v>3.1830909090909092</v>
      </c>
      <c r="H92" t="s">
        <v>8</v>
      </c>
      <c r="I92" t="s">
        <v>9</v>
      </c>
      <c r="J92" t="str">
        <f t="shared" si="6"/>
        <v>Cmmm    (65) (Cmmm (65))</v>
      </c>
      <c r="K92">
        <v>6.327</v>
      </c>
      <c r="L92" s="2">
        <f>K92/11</f>
        <v>0.57518181818181813</v>
      </c>
      <c r="M92" s="2">
        <v>35.414000000000001</v>
      </c>
      <c r="N92" s="2">
        <f t="shared" si="7"/>
        <v>3.2194545454545458</v>
      </c>
      <c r="O92" t="str">
        <f>TEXT(N92,"0.000")&amp;" ("&amp;(TEXT(G92,"0.000")&amp;")")</f>
        <v>3.219 (3.183)</v>
      </c>
    </row>
    <row r="93" spans="1:15" x14ac:dyDescent="0.35">
      <c r="A93">
        <v>37</v>
      </c>
      <c r="B93" t="s">
        <v>21</v>
      </c>
      <c r="C93" t="s">
        <v>22</v>
      </c>
      <c r="D93" s="2">
        <v>3.7090000000000001</v>
      </c>
      <c r="E93" s="2">
        <f t="shared" si="4"/>
        <v>0.33718181818181819</v>
      </c>
      <c r="F93">
        <v>35.012999999999998</v>
      </c>
      <c r="G93" s="2">
        <f t="shared" si="5"/>
        <v>3.1829999999999998</v>
      </c>
      <c r="H93" t="s">
        <v>8</v>
      </c>
      <c r="I93" t="s">
        <v>9</v>
      </c>
      <c r="J93" t="str">
        <f t="shared" si="6"/>
        <v>Cmmm    (65) (Cmmm (65))</v>
      </c>
      <c r="K93">
        <v>6.327</v>
      </c>
      <c r="L93" s="2">
        <f>K93/11</f>
        <v>0.57518181818181813</v>
      </c>
      <c r="M93" s="2">
        <v>35.412999999999997</v>
      </c>
      <c r="N93" s="2">
        <f t="shared" si="7"/>
        <v>3.219363636363636</v>
      </c>
      <c r="O93" t="str">
        <f>TEXT(N93,"0.000")&amp;" ("&amp;(TEXT(G93,"0.000")&amp;")")</f>
        <v>3.219 (3.183)</v>
      </c>
    </row>
    <row r="94" spans="1:15" x14ac:dyDescent="0.35">
      <c r="A94">
        <v>43</v>
      </c>
      <c r="B94" t="s">
        <v>21</v>
      </c>
      <c r="C94" t="s">
        <v>22</v>
      </c>
      <c r="D94" s="2">
        <v>3.7090000000000001</v>
      </c>
      <c r="E94" s="2">
        <f t="shared" si="4"/>
        <v>0.33718181818181819</v>
      </c>
      <c r="F94">
        <v>35.012999999999998</v>
      </c>
      <c r="G94" s="2">
        <f t="shared" si="5"/>
        <v>3.1829999999999998</v>
      </c>
      <c r="H94" t="s">
        <v>8</v>
      </c>
      <c r="I94" t="s">
        <v>9</v>
      </c>
      <c r="J94" t="str">
        <f t="shared" si="6"/>
        <v>Cmmm    (65) (Cmmm (65))</v>
      </c>
      <c r="K94">
        <v>6.327</v>
      </c>
      <c r="L94" s="2">
        <f>K94/11</f>
        <v>0.57518181818181813</v>
      </c>
      <c r="M94" s="2">
        <v>35.414999999999999</v>
      </c>
      <c r="N94" s="2">
        <f t="shared" si="7"/>
        <v>3.2195454545454543</v>
      </c>
      <c r="O94" t="str">
        <f>TEXT(N94,"0.000")&amp;" ("&amp;(TEXT(G94,"0.000")&amp;")")</f>
        <v>3.220 (3.183)</v>
      </c>
    </row>
    <row r="95" spans="1:15" x14ac:dyDescent="0.35">
      <c r="A95">
        <v>44</v>
      </c>
      <c r="B95" t="s">
        <v>23</v>
      </c>
      <c r="C95" t="s">
        <v>22</v>
      </c>
      <c r="D95" s="2">
        <v>3.7090000000000001</v>
      </c>
      <c r="E95" s="2">
        <f t="shared" si="4"/>
        <v>0.33718181818181819</v>
      </c>
      <c r="F95">
        <v>35.014000000000003</v>
      </c>
      <c r="G95" s="2">
        <f t="shared" si="5"/>
        <v>3.1830909090909092</v>
      </c>
      <c r="H95" t="s">
        <v>8</v>
      </c>
      <c r="I95" t="s">
        <v>9</v>
      </c>
      <c r="J95" t="str">
        <f t="shared" si="6"/>
        <v>Cmmm    (65) (Cmmm (65))</v>
      </c>
      <c r="K95">
        <v>6.327</v>
      </c>
      <c r="L95" s="2">
        <f>K95/11</f>
        <v>0.57518181818181813</v>
      </c>
      <c r="M95" s="2">
        <v>35.412999999999997</v>
      </c>
      <c r="N95" s="2">
        <f t="shared" si="7"/>
        <v>3.219363636363636</v>
      </c>
      <c r="O95" t="str">
        <f>TEXT(N95,"0.000")&amp;" ("&amp;(TEXT(G95,"0.000")&amp;")")</f>
        <v>3.219 (3.183)</v>
      </c>
    </row>
    <row r="96" spans="1:15" x14ac:dyDescent="0.35">
      <c r="A96">
        <v>50</v>
      </c>
      <c r="B96" t="s">
        <v>24</v>
      </c>
      <c r="C96" t="s">
        <v>22</v>
      </c>
      <c r="D96" s="2">
        <v>3.7090000000000001</v>
      </c>
      <c r="E96" s="2">
        <f t="shared" si="4"/>
        <v>0.33718181818181819</v>
      </c>
      <c r="F96">
        <v>35.012999999999998</v>
      </c>
      <c r="G96" s="2">
        <f t="shared" si="5"/>
        <v>3.1829999999999998</v>
      </c>
      <c r="H96" t="s">
        <v>8</v>
      </c>
      <c r="I96" t="s">
        <v>9</v>
      </c>
      <c r="J96" t="str">
        <f t="shared" si="6"/>
        <v>Cmmm    (65) (Cmmm (65))</v>
      </c>
      <c r="K96">
        <v>6.327</v>
      </c>
      <c r="L96" s="2">
        <f>K96/11</f>
        <v>0.57518181818181813</v>
      </c>
      <c r="M96" s="2">
        <v>35.414999999999999</v>
      </c>
      <c r="N96" s="2">
        <f t="shared" si="7"/>
        <v>3.2195454545454543</v>
      </c>
      <c r="O96" t="str">
        <f>TEXT(N96,"0.000")&amp;" ("&amp;(TEXT(G96,"0.000")&amp;")")</f>
        <v>3.220 (3.183)</v>
      </c>
    </row>
    <row r="97" spans="1:15" x14ac:dyDescent="0.35">
      <c r="A97">
        <v>52</v>
      </c>
      <c r="B97" t="s">
        <v>24</v>
      </c>
      <c r="C97" t="s">
        <v>22</v>
      </c>
      <c r="D97" s="2">
        <v>3.7090000000000001</v>
      </c>
      <c r="E97" s="2">
        <f t="shared" si="4"/>
        <v>0.33718181818181819</v>
      </c>
      <c r="F97">
        <v>35.014000000000003</v>
      </c>
      <c r="G97" s="2">
        <f t="shared" si="5"/>
        <v>3.1830909090909092</v>
      </c>
      <c r="H97" t="s">
        <v>8</v>
      </c>
      <c r="I97" t="s">
        <v>9</v>
      </c>
      <c r="J97" t="str">
        <f t="shared" si="6"/>
        <v>Cmmm    (65) (Cmmm (65))</v>
      </c>
      <c r="K97">
        <v>6.327</v>
      </c>
      <c r="L97" s="2">
        <f>K97/11</f>
        <v>0.57518181818181813</v>
      </c>
      <c r="M97" s="2">
        <v>35.414000000000001</v>
      </c>
      <c r="N97" s="2">
        <f t="shared" si="7"/>
        <v>3.2194545454545458</v>
      </c>
      <c r="O97" t="str">
        <f>TEXT(N97,"0.000")&amp;" ("&amp;(TEXT(G97,"0.000")&amp;")")</f>
        <v>3.219 (3.183)</v>
      </c>
    </row>
    <row r="98" spans="1:15" x14ac:dyDescent="0.35">
      <c r="A98">
        <v>80</v>
      </c>
      <c r="B98" t="s">
        <v>21</v>
      </c>
      <c r="C98" t="s">
        <v>22</v>
      </c>
      <c r="D98" s="2">
        <v>3.7090000000000001</v>
      </c>
      <c r="E98" s="2">
        <f t="shared" si="4"/>
        <v>0.33718181818181819</v>
      </c>
      <c r="F98">
        <v>35.012999999999998</v>
      </c>
      <c r="G98" s="2">
        <f t="shared" si="5"/>
        <v>3.1829999999999998</v>
      </c>
      <c r="H98" t="s">
        <v>8</v>
      </c>
      <c r="I98" t="s">
        <v>9</v>
      </c>
      <c r="J98" t="str">
        <f t="shared" si="6"/>
        <v>Cmmm    (65) (Cmmm (65))</v>
      </c>
      <c r="K98">
        <v>6.327</v>
      </c>
      <c r="L98" s="2">
        <f>K98/11</f>
        <v>0.57518181818181813</v>
      </c>
      <c r="M98" s="2">
        <v>35.412999999999997</v>
      </c>
      <c r="N98" s="2">
        <f t="shared" si="7"/>
        <v>3.219363636363636</v>
      </c>
      <c r="O98" t="str">
        <f>TEXT(N98,"0.000")&amp;" ("&amp;(TEXT(G98,"0.000")&amp;")")</f>
        <v>3.219 (3.183)</v>
      </c>
    </row>
    <row r="99" spans="1:15" x14ac:dyDescent="0.35">
      <c r="A99">
        <v>91</v>
      </c>
      <c r="B99" t="s">
        <v>21</v>
      </c>
      <c r="C99" t="s">
        <v>22</v>
      </c>
      <c r="D99" s="2">
        <v>3.7090000000000001</v>
      </c>
      <c r="E99" s="2">
        <f t="shared" si="4"/>
        <v>0.33718181818181819</v>
      </c>
      <c r="F99">
        <v>35.014000000000003</v>
      </c>
      <c r="G99" s="2">
        <f t="shared" si="5"/>
        <v>3.1830909090909092</v>
      </c>
      <c r="H99" t="s">
        <v>8</v>
      </c>
      <c r="I99" t="s">
        <v>9</v>
      </c>
      <c r="J99" t="str">
        <f t="shared" si="6"/>
        <v>Cmmm    (65) (Cmmm (65))</v>
      </c>
      <c r="K99">
        <v>6.327</v>
      </c>
      <c r="L99" s="2">
        <f>K99/11</f>
        <v>0.57518181818181813</v>
      </c>
      <c r="M99" s="2">
        <v>35.412999999999997</v>
      </c>
      <c r="N99" s="2">
        <f t="shared" si="7"/>
        <v>3.219363636363636</v>
      </c>
      <c r="O99" t="str">
        <f>TEXT(N99,"0.000")&amp;" ("&amp;(TEXT(G99,"0.000")&amp;")")</f>
        <v>3.219 (3.183)</v>
      </c>
    </row>
    <row r="100" spans="1:15" x14ac:dyDescent="0.35">
      <c r="A100">
        <v>111</v>
      </c>
      <c r="B100" t="s">
        <v>24</v>
      </c>
      <c r="C100" t="s">
        <v>22</v>
      </c>
      <c r="D100" s="2">
        <v>5.6230000000000002</v>
      </c>
      <c r="E100" s="2">
        <f t="shared" si="4"/>
        <v>0.51118181818181818</v>
      </c>
      <c r="F100">
        <v>35.720999999999997</v>
      </c>
      <c r="G100" s="2">
        <f t="shared" si="5"/>
        <v>3.247363636363636</v>
      </c>
      <c r="H100" t="s">
        <v>28</v>
      </c>
      <c r="I100" t="s">
        <v>9</v>
      </c>
      <c r="J100" t="str">
        <f t="shared" si="6"/>
        <v>Cmmm    (65) (P4/mmm (123))</v>
      </c>
      <c r="K100">
        <v>6.327</v>
      </c>
      <c r="L100" s="2">
        <f>K100/11</f>
        <v>0.57518181818181813</v>
      </c>
      <c r="M100" s="2">
        <v>35.414000000000001</v>
      </c>
      <c r="N100" s="2">
        <f t="shared" si="7"/>
        <v>3.2194545454545458</v>
      </c>
      <c r="O100" t="str">
        <f>TEXT(N100,"0.000")&amp;" ("&amp;(TEXT(G100,"0.000")&amp;")")</f>
        <v>3.219 (3.247)</v>
      </c>
    </row>
    <row r="101" spans="1:15" x14ac:dyDescent="0.35">
      <c r="A101">
        <v>127</v>
      </c>
      <c r="B101" t="s">
        <v>24</v>
      </c>
      <c r="C101" t="s">
        <v>22</v>
      </c>
      <c r="D101" s="2">
        <v>5.0629999999999997</v>
      </c>
      <c r="E101" s="2">
        <f t="shared" si="4"/>
        <v>0.46027272727272722</v>
      </c>
      <c r="F101">
        <v>35</v>
      </c>
      <c r="G101" s="2">
        <f t="shared" si="5"/>
        <v>3.1818181818181817</v>
      </c>
      <c r="H101" t="s">
        <v>11</v>
      </c>
      <c r="I101" t="s">
        <v>9</v>
      </c>
      <c r="J101" t="str">
        <f t="shared" si="6"/>
        <v>Cmmm    (65) (P1 (1))</v>
      </c>
      <c r="K101">
        <v>6.327</v>
      </c>
      <c r="L101" s="2">
        <f>K101/11</f>
        <v>0.57518181818181813</v>
      </c>
      <c r="M101" s="2">
        <v>35.414999999999999</v>
      </c>
      <c r="N101" s="2">
        <f t="shared" si="7"/>
        <v>3.2195454545454543</v>
      </c>
      <c r="O101" t="str">
        <f>TEXT(N101,"0.000")&amp;" ("&amp;(TEXT(G101,"0.000")&amp;")")</f>
        <v>3.220 (3.182)</v>
      </c>
    </row>
    <row r="102" spans="1:15" x14ac:dyDescent="0.35">
      <c r="A102">
        <v>139</v>
      </c>
      <c r="B102" t="s">
        <v>21</v>
      </c>
      <c r="C102" t="s">
        <v>22</v>
      </c>
      <c r="D102" s="2">
        <v>3.7090000000000001</v>
      </c>
      <c r="E102" s="2">
        <f t="shared" si="4"/>
        <v>0.33718181818181819</v>
      </c>
      <c r="F102">
        <v>35.012999999999998</v>
      </c>
      <c r="G102" s="2">
        <f t="shared" si="5"/>
        <v>3.1829999999999998</v>
      </c>
      <c r="H102" t="s">
        <v>8</v>
      </c>
      <c r="I102" t="s">
        <v>9</v>
      </c>
      <c r="J102" t="str">
        <f t="shared" si="6"/>
        <v>Cmmm    (65) (Cmmm (65))</v>
      </c>
      <c r="K102">
        <v>6.327</v>
      </c>
      <c r="L102" s="2">
        <f>K102/11</f>
        <v>0.57518181818181813</v>
      </c>
      <c r="M102" s="2">
        <v>35.414000000000001</v>
      </c>
      <c r="N102" s="2">
        <f t="shared" si="7"/>
        <v>3.2194545454545458</v>
      </c>
      <c r="O102" t="str">
        <f>TEXT(N102,"0.000")&amp;" ("&amp;(TEXT(G102,"0.000")&amp;")")</f>
        <v>3.219 (3.183)</v>
      </c>
    </row>
    <row r="103" spans="1:15" x14ac:dyDescent="0.35">
      <c r="A103">
        <v>156</v>
      </c>
      <c r="B103" t="s">
        <v>21</v>
      </c>
      <c r="C103" t="s">
        <v>22</v>
      </c>
      <c r="D103" s="2">
        <v>3.7090000000000001</v>
      </c>
      <c r="E103" s="2">
        <f t="shared" si="4"/>
        <v>0.33718181818181819</v>
      </c>
      <c r="F103">
        <v>35.012999999999998</v>
      </c>
      <c r="G103" s="2">
        <f t="shared" si="5"/>
        <v>3.1829999999999998</v>
      </c>
      <c r="H103" t="s">
        <v>8</v>
      </c>
      <c r="I103" t="s">
        <v>9</v>
      </c>
      <c r="J103" t="str">
        <f t="shared" si="6"/>
        <v>Cmmm    (65) (Cmmm (65))</v>
      </c>
      <c r="K103">
        <v>6.327</v>
      </c>
      <c r="L103" s="2">
        <f>K103/11</f>
        <v>0.57518181818181813</v>
      </c>
      <c r="M103" s="2">
        <v>35.414999999999999</v>
      </c>
      <c r="N103" s="2">
        <f t="shared" si="7"/>
        <v>3.2195454545454543</v>
      </c>
      <c r="O103" t="str">
        <f>TEXT(N103,"0.000")&amp;" ("&amp;(TEXT(G103,"0.000")&amp;")")</f>
        <v>3.220 (3.183)</v>
      </c>
    </row>
    <row r="104" spans="1:15" x14ac:dyDescent="0.35">
      <c r="A104">
        <v>173</v>
      </c>
      <c r="B104" t="s">
        <v>21</v>
      </c>
      <c r="C104" t="s">
        <v>22</v>
      </c>
      <c r="D104" s="2">
        <v>3.7090000000000001</v>
      </c>
      <c r="E104" s="2">
        <f t="shared" si="4"/>
        <v>0.33718181818181819</v>
      </c>
      <c r="F104">
        <v>35.014000000000003</v>
      </c>
      <c r="G104" s="2">
        <f t="shared" si="5"/>
        <v>3.1830909090909092</v>
      </c>
      <c r="H104" t="s">
        <v>8</v>
      </c>
      <c r="I104" t="s">
        <v>9</v>
      </c>
      <c r="J104" t="str">
        <f t="shared" si="6"/>
        <v>Cmmm    (65) (Cmmm (65))</v>
      </c>
      <c r="K104">
        <v>6.327</v>
      </c>
      <c r="L104" s="2">
        <f>K104/11</f>
        <v>0.57518181818181813</v>
      </c>
      <c r="M104" s="2">
        <v>35.414999999999999</v>
      </c>
      <c r="N104" s="2">
        <f t="shared" si="7"/>
        <v>3.2195454545454543</v>
      </c>
      <c r="O104" t="str">
        <f>TEXT(N104,"0.000")&amp;" ("&amp;(TEXT(G104,"0.000")&amp;")")</f>
        <v>3.220 (3.183)</v>
      </c>
    </row>
    <row r="105" spans="1:15" x14ac:dyDescent="0.35">
      <c r="A105">
        <v>185</v>
      </c>
      <c r="B105" t="s">
        <v>24</v>
      </c>
      <c r="C105" t="s">
        <v>22</v>
      </c>
      <c r="D105" s="2">
        <v>5.6230000000000002</v>
      </c>
      <c r="E105" s="2">
        <f t="shared" si="4"/>
        <v>0.51118181818181818</v>
      </c>
      <c r="F105">
        <v>35.720999999999997</v>
      </c>
      <c r="G105" s="2">
        <f t="shared" si="5"/>
        <v>3.247363636363636</v>
      </c>
      <c r="H105" t="s">
        <v>28</v>
      </c>
      <c r="I105" t="s">
        <v>9</v>
      </c>
      <c r="J105" t="str">
        <f t="shared" si="6"/>
        <v>Cmmm    (65) (P4/mmm (123))</v>
      </c>
      <c r="K105">
        <v>6.327</v>
      </c>
      <c r="L105" s="2">
        <f>K105/11</f>
        <v>0.57518181818181813</v>
      </c>
      <c r="M105" s="2">
        <v>35.414999999999999</v>
      </c>
      <c r="N105" s="2">
        <f t="shared" si="7"/>
        <v>3.2195454545454543</v>
      </c>
      <c r="O105" t="str">
        <f>TEXT(N105,"0.000")&amp;" ("&amp;(TEXT(G105,"0.000")&amp;")")</f>
        <v>3.220 (3.247)</v>
      </c>
    </row>
    <row r="106" spans="1:15" x14ac:dyDescent="0.35">
      <c r="A106">
        <v>186</v>
      </c>
      <c r="B106" t="s">
        <v>24</v>
      </c>
      <c r="C106" t="s">
        <v>22</v>
      </c>
      <c r="D106" s="2">
        <v>3.7090000000000001</v>
      </c>
      <c r="E106" s="2">
        <f t="shared" si="4"/>
        <v>0.33718181818181819</v>
      </c>
      <c r="F106">
        <v>35.012999999999998</v>
      </c>
      <c r="G106" s="2">
        <f t="shared" si="5"/>
        <v>3.1829999999999998</v>
      </c>
      <c r="H106" t="s">
        <v>8</v>
      </c>
      <c r="I106" t="s">
        <v>9</v>
      </c>
      <c r="J106" t="str">
        <f t="shared" si="6"/>
        <v>Cmmm    (65) (Cmmm (65))</v>
      </c>
      <c r="K106">
        <v>6.327</v>
      </c>
      <c r="L106" s="2">
        <f>K106/11</f>
        <v>0.57518181818181813</v>
      </c>
      <c r="M106" s="2">
        <v>35.414000000000001</v>
      </c>
      <c r="N106" s="2">
        <f t="shared" si="7"/>
        <v>3.2194545454545458</v>
      </c>
      <c r="O106" t="str">
        <f>TEXT(N106,"0.000")&amp;" ("&amp;(TEXT(G106,"0.000")&amp;")")</f>
        <v>3.219 (3.183)</v>
      </c>
    </row>
    <row r="107" spans="1:15" x14ac:dyDescent="0.35">
      <c r="A107">
        <v>192</v>
      </c>
      <c r="B107" t="s">
        <v>21</v>
      </c>
      <c r="C107" t="s">
        <v>22</v>
      </c>
      <c r="D107" s="2">
        <v>3.7090000000000001</v>
      </c>
      <c r="E107" s="2">
        <f t="shared" si="4"/>
        <v>0.33718181818181819</v>
      </c>
      <c r="F107">
        <v>35.015000000000001</v>
      </c>
      <c r="G107" s="2">
        <f t="shared" si="5"/>
        <v>3.1831818181818181</v>
      </c>
      <c r="H107" t="s">
        <v>8</v>
      </c>
      <c r="I107" t="s">
        <v>9</v>
      </c>
      <c r="J107" t="str">
        <f t="shared" si="6"/>
        <v>Cmmm    (65) (Cmmm (65))</v>
      </c>
      <c r="K107">
        <v>6.327</v>
      </c>
      <c r="L107" s="2">
        <f>K107/11</f>
        <v>0.57518181818181813</v>
      </c>
      <c r="M107" s="2">
        <v>35.414000000000001</v>
      </c>
      <c r="N107" s="2">
        <f t="shared" si="7"/>
        <v>3.2194545454545458</v>
      </c>
      <c r="O107" t="str">
        <f>TEXT(N107,"0.000")&amp;" ("&amp;(TEXT(G107,"0.000")&amp;")")</f>
        <v>3.219 (3.183)</v>
      </c>
    </row>
    <row r="108" spans="1:15" x14ac:dyDescent="0.35">
      <c r="A108">
        <v>199</v>
      </c>
      <c r="B108" t="s">
        <v>24</v>
      </c>
      <c r="C108" t="s">
        <v>22</v>
      </c>
      <c r="D108" s="2">
        <v>5.6230000000000002</v>
      </c>
      <c r="E108" s="2">
        <f t="shared" si="4"/>
        <v>0.51118181818181818</v>
      </c>
      <c r="F108">
        <v>35.720999999999997</v>
      </c>
      <c r="G108" s="2">
        <f t="shared" si="5"/>
        <v>3.247363636363636</v>
      </c>
      <c r="H108" t="s">
        <v>28</v>
      </c>
      <c r="I108" t="s">
        <v>9</v>
      </c>
      <c r="J108" t="str">
        <f t="shared" si="6"/>
        <v>Cmmm    (65) (P4/mmm (123))</v>
      </c>
      <c r="K108">
        <v>6.327</v>
      </c>
      <c r="L108" s="2">
        <f>K108/11</f>
        <v>0.57518181818181813</v>
      </c>
      <c r="M108" s="2">
        <v>35.414000000000001</v>
      </c>
      <c r="N108" s="2">
        <f t="shared" si="7"/>
        <v>3.2194545454545458</v>
      </c>
      <c r="O108" t="str">
        <f>TEXT(N108,"0.000")&amp;" ("&amp;(TEXT(G108,"0.000")&amp;")")</f>
        <v>3.219 (3.247)</v>
      </c>
    </row>
    <row r="109" spans="1:15" x14ac:dyDescent="0.35">
      <c r="A109">
        <v>205</v>
      </c>
      <c r="B109" t="s">
        <v>24</v>
      </c>
      <c r="C109" t="s">
        <v>22</v>
      </c>
      <c r="D109" s="2">
        <v>5.6230000000000002</v>
      </c>
      <c r="E109" s="2">
        <f t="shared" si="4"/>
        <v>0.51118181818181818</v>
      </c>
      <c r="F109">
        <v>35.722000000000001</v>
      </c>
      <c r="G109" s="2">
        <f t="shared" si="5"/>
        <v>3.2474545454545454</v>
      </c>
      <c r="H109" t="s">
        <v>28</v>
      </c>
      <c r="I109" t="s">
        <v>9</v>
      </c>
      <c r="J109" t="str">
        <f t="shared" si="6"/>
        <v>Cmmm    (65) (P4/mmm (123))</v>
      </c>
      <c r="K109">
        <v>6.327</v>
      </c>
      <c r="L109" s="2">
        <f>K109/11</f>
        <v>0.57518181818181813</v>
      </c>
      <c r="M109" s="2">
        <v>35.414999999999999</v>
      </c>
      <c r="N109" s="2">
        <f t="shared" si="7"/>
        <v>3.2195454545454543</v>
      </c>
      <c r="O109" t="str">
        <f>TEXT(N109,"0.000")&amp;" ("&amp;(TEXT(G109,"0.000")&amp;")")</f>
        <v>3.220 (3.247)</v>
      </c>
    </row>
    <row r="110" spans="1:15" x14ac:dyDescent="0.35">
      <c r="A110">
        <v>54</v>
      </c>
      <c r="B110" t="s">
        <v>21</v>
      </c>
      <c r="C110" t="s">
        <v>22</v>
      </c>
      <c r="D110" s="2">
        <v>3.7090000000000001</v>
      </c>
      <c r="E110" s="2">
        <f t="shared" si="4"/>
        <v>0.33718181818181819</v>
      </c>
      <c r="F110">
        <v>35.015000000000001</v>
      </c>
      <c r="G110" s="2">
        <f t="shared" si="5"/>
        <v>3.1831818181818181</v>
      </c>
      <c r="H110" t="s">
        <v>8</v>
      </c>
      <c r="I110" t="s">
        <v>9</v>
      </c>
      <c r="J110" t="str">
        <f t="shared" si="6"/>
        <v>Cmmm    (65) (Cmmm (65))</v>
      </c>
      <c r="K110">
        <v>6.3280000000000003</v>
      </c>
      <c r="L110" s="2">
        <f>K110/11</f>
        <v>0.57527272727272727</v>
      </c>
      <c r="M110" s="2">
        <v>35.414999999999999</v>
      </c>
      <c r="N110" s="2">
        <f t="shared" si="7"/>
        <v>3.2195454545454543</v>
      </c>
      <c r="O110" t="str">
        <f>TEXT(N110,"0.000")&amp;" ("&amp;(TEXT(G110,"0.000")&amp;")")</f>
        <v>3.220 (3.183)</v>
      </c>
    </row>
    <row r="111" spans="1:15" x14ac:dyDescent="0.35">
      <c r="A111">
        <v>56</v>
      </c>
      <c r="B111" t="s">
        <v>21</v>
      </c>
      <c r="C111" t="s">
        <v>22</v>
      </c>
      <c r="D111" s="2">
        <v>3.7090000000000001</v>
      </c>
      <c r="E111" s="2">
        <f t="shared" si="4"/>
        <v>0.33718181818181819</v>
      </c>
      <c r="F111">
        <v>35.012999999999998</v>
      </c>
      <c r="G111" s="2">
        <f t="shared" si="5"/>
        <v>3.1829999999999998</v>
      </c>
      <c r="H111" t="s">
        <v>8</v>
      </c>
      <c r="I111" t="s">
        <v>9</v>
      </c>
      <c r="J111" t="str">
        <f t="shared" si="6"/>
        <v>Cmmm    (65) (Cmmm (65))</v>
      </c>
      <c r="K111">
        <v>6.3280000000000003</v>
      </c>
      <c r="L111" s="2">
        <f>K111/11</f>
        <v>0.57527272727272727</v>
      </c>
      <c r="M111" s="2">
        <v>35.414000000000001</v>
      </c>
      <c r="N111" s="2">
        <f t="shared" si="7"/>
        <v>3.2194545454545458</v>
      </c>
      <c r="O111" t="str">
        <f>TEXT(N111,"0.000")&amp;" ("&amp;(TEXT(G111,"0.000")&amp;")")</f>
        <v>3.219 (3.183)</v>
      </c>
    </row>
    <row r="112" spans="1:15" x14ac:dyDescent="0.35">
      <c r="A112">
        <v>75</v>
      </c>
      <c r="B112" t="s">
        <v>21</v>
      </c>
      <c r="C112" t="s">
        <v>22</v>
      </c>
      <c r="D112" s="2">
        <v>3.7090000000000001</v>
      </c>
      <c r="E112" s="2">
        <f t="shared" si="4"/>
        <v>0.33718181818181819</v>
      </c>
      <c r="F112">
        <v>35.014000000000003</v>
      </c>
      <c r="G112" s="2">
        <f t="shared" si="5"/>
        <v>3.1830909090909092</v>
      </c>
      <c r="H112" t="s">
        <v>8</v>
      </c>
      <c r="I112" t="s">
        <v>9</v>
      </c>
      <c r="J112" t="str">
        <f t="shared" si="6"/>
        <v>Cmmm    (65) (Cmmm (65))</v>
      </c>
      <c r="K112">
        <v>6.3280000000000003</v>
      </c>
      <c r="L112" s="2">
        <f>K112/11</f>
        <v>0.57527272727272727</v>
      </c>
      <c r="M112" s="2">
        <v>35.414000000000001</v>
      </c>
      <c r="N112" s="2">
        <f t="shared" si="7"/>
        <v>3.2194545454545458</v>
      </c>
      <c r="O112" t="str">
        <f>TEXT(N112,"0.000")&amp;" ("&amp;(TEXT(G112,"0.000")&amp;")")</f>
        <v>3.219 (3.183)</v>
      </c>
    </row>
    <row r="113" spans="1:15" x14ac:dyDescent="0.35">
      <c r="A113">
        <v>94</v>
      </c>
      <c r="B113" t="s">
        <v>21</v>
      </c>
      <c r="C113" t="s">
        <v>22</v>
      </c>
      <c r="D113" s="2">
        <v>3.7090000000000001</v>
      </c>
      <c r="E113" s="2">
        <f t="shared" si="4"/>
        <v>0.33718181818181819</v>
      </c>
      <c r="F113">
        <v>35.014000000000003</v>
      </c>
      <c r="G113" s="2">
        <f t="shared" si="5"/>
        <v>3.1830909090909092</v>
      </c>
      <c r="H113" t="s">
        <v>8</v>
      </c>
      <c r="I113" t="s">
        <v>9</v>
      </c>
      <c r="J113" t="str">
        <f t="shared" si="6"/>
        <v>Cmmm    (65) (Cmmm (65))</v>
      </c>
      <c r="K113">
        <v>6.3280000000000003</v>
      </c>
      <c r="L113" s="2">
        <f>K113/11</f>
        <v>0.57527272727272727</v>
      </c>
      <c r="M113" s="2">
        <v>35.412999999999997</v>
      </c>
      <c r="N113" s="2">
        <f t="shared" si="7"/>
        <v>3.219363636363636</v>
      </c>
      <c r="O113" t="str">
        <f>TEXT(N113,"0.000")&amp;" ("&amp;(TEXT(G113,"0.000")&amp;")")</f>
        <v>3.219 (3.183)</v>
      </c>
    </row>
    <row r="114" spans="1:15" x14ac:dyDescent="0.35">
      <c r="A114">
        <v>103</v>
      </c>
      <c r="B114" t="s">
        <v>23</v>
      </c>
      <c r="C114" t="s">
        <v>22</v>
      </c>
      <c r="D114" s="2">
        <v>6.8680000000000003</v>
      </c>
      <c r="E114" s="2">
        <f t="shared" si="4"/>
        <v>0.62436363636363634</v>
      </c>
      <c r="F114">
        <v>35.116</v>
      </c>
      <c r="G114" s="2">
        <f t="shared" si="5"/>
        <v>3.1923636363636363</v>
      </c>
      <c r="H114" t="s">
        <v>28</v>
      </c>
      <c r="I114" t="s">
        <v>9</v>
      </c>
      <c r="J114" t="str">
        <f t="shared" si="6"/>
        <v>Cmmm    (65) (P4/mmm (123))</v>
      </c>
      <c r="K114">
        <v>6.3280000000000003</v>
      </c>
      <c r="L114" s="2">
        <f>K114/11</f>
        <v>0.57527272727272727</v>
      </c>
      <c r="M114" s="2">
        <v>35.414000000000001</v>
      </c>
      <c r="N114" s="2">
        <f t="shared" si="7"/>
        <v>3.2194545454545458</v>
      </c>
      <c r="O114" t="str">
        <f>TEXT(N114,"0.000")&amp;" ("&amp;(TEXT(G114,"0.000")&amp;")")</f>
        <v>3.219 (3.192)</v>
      </c>
    </row>
    <row r="115" spans="1:15" x14ac:dyDescent="0.35">
      <c r="A115">
        <v>128</v>
      </c>
      <c r="B115" t="s">
        <v>24</v>
      </c>
      <c r="C115" t="s">
        <v>22</v>
      </c>
      <c r="D115" s="2">
        <v>3.7090000000000001</v>
      </c>
      <c r="E115" s="2">
        <f t="shared" si="4"/>
        <v>0.33718181818181819</v>
      </c>
      <c r="F115">
        <v>35.014000000000003</v>
      </c>
      <c r="G115" s="2">
        <f t="shared" si="5"/>
        <v>3.1830909090909092</v>
      </c>
      <c r="H115" t="s">
        <v>8</v>
      </c>
      <c r="I115" t="s">
        <v>9</v>
      </c>
      <c r="J115" t="str">
        <f t="shared" si="6"/>
        <v>Cmmm    (65) (Cmmm (65))</v>
      </c>
      <c r="K115">
        <v>6.3280000000000003</v>
      </c>
      <c r="L115" s="2">
        <f>K115/11</f>
        <v>0.57527272727272727</v>
      </c>
      <c r="M115" s="2">
        <v>35.414999999999999</v>
      </c>
      <c r="N115" s="2">
        <f t="shared" si="7"/>
        <v>3.2195454545454543</v>
      </c>
      <c r="O115" t="str">
        <f>TEXT(N115,"0.000")&amp;" ("&amp;(TEXT(G115,"0.000")&amp;")")</f>
        <v>3.220 (3.183)</v>
      </c>
    </row>
    <row r="116" spans="1:15" x14ac:dyDescent="0.35">
      <c r="A116">
        <v>143</v>
      </c>
      <c r="B116" t="s">
        <v>23</v>
      </c>
      <c r="C116" t="s">
        <v>22</v>
      </c>
      <c r="D116" s="2">
        <v>3.7090000000000001</v>
      </c>
      <c r="E116" s="2">
        <f t="shared" si="4"/>
        <v>0.33718181818181819</v>
      </c>
      <c r="F116">
        <v>35.012999999999998</v>
      </c>
      <c r="G116" s="2">
        <f t="shared" si="5"/>
        <v>3.1829999999999998</v>
      </c>
      <c r="H116" t="s">
        <v>8</v>
      </c>
      <c r="I116" t="s">
        <v>9</v>
      </c>
      <c r="J116" t="str">
        <f t="shared" si="6"/>
        <v>Cmmm    (65) (Cmmm (65))</v>
      </c>
      <c r="K116">
        <v>6.3280000000000003</v>
      </c>
      <c r="L116" s="2">
        <f>K116/11</f>
        <v>0.57527272727272727</v>
      </c>
      <c r="M116" s="2">
        <v>35.414999999999999</v>
      </c>
      <c r="N116" s="2">
        <f t="shared" si="7"/>
        <v>3.2195454545454543</v>
      </c>
      <c r="O116" t="str">
        <f>TEXT(N116,"0.000")&amp;" ("&amp;(TEXT(G116,"0.000")&amp;")")</f>
        <v>3.220 (3.183)</v>
      </c>
    </row>
    <row r="117" spans="1:15" x14ac:dyDescent="0.35">
      <c r="A117">
        <v>167</v>
      </c>
      <c r="B117" t="s">
        <v>24</v>
      </c>
      <c r="C117" t="s">
        <v>22</v>
      </c>
      <c r="D117" s="2">
        <v>3.7090000000000001</v>
      </c>
      <c r="E117" s="2">
        <f t="shared" si="4"/>
        <v>0.33718181818181819</v>
      </c>
      <c r="F117">
        <v>35.012999999999998</v>
      </c>
      <c r="G117" s="2">
        <f t="shared" si="5"/>
        <v>3.1829999999999998</v>
      </c>
      <c r="H117" t="s">
        <v>8</v>
      </c>
      <c r="I117" t="s">
        <v>9</v>
      </c>
      <c r="J117" t="str">
        <f t="shared" si="6"/>
        <v>Cmmm    (65) (Cmmm (65))</v>
      </c>
      <c r="K117">
        <v>6.3280000000000003</v>
      </c>
      <c r="L117" s="2">
        <f>K117/11</f>
        <v>0.57527272727272727</v>
      </c>
      <c r="M117" s="2">
        <v>35.411999999999999</v>
      </c>
      <c r="N117" s="2">
        <f t="shared" si="7"/>
        <v>3.2192727272727271</v>
      </c>
      <c r="O117" t="str">
        <f>TEXT(N117,"0.000")&amp;" ("&amp;(TEXT(G117,"0.000")&amp;")")</f>
        <v>3.219 (3.183)</v>
      </c>
    </row>
    <row r="118" spans="1:15" x14ac:dyDescent="0.35">
      <c r="A118">
        <v>177</v>
      </c>
      <c r="B118" t="s">
        <v>23</v>
      </c>
      <c r="C118" t="s">
        <v>22</v>
      </c>
      <c r="D118" s="2">
        <v>3.7090000000000001</v>
      </c>
      <c r="E118" s="2">
        <f t="shared" si="4"/>
        <v>0.33718181818181819</v>
      </c>
      <c r="F118">
        <v>35.014000000000003</v>
      </c>
      <c r="G118" s="2">
        <f t="shared" si="5"/>
        <v>3.1830909090909092</v>
      </c>
      <c r="H118" t="s">
        <v>8</v>
      </c>
      <c r="I118" t="s">
        <v>9</v>
      </c>
      <c r="J118" t="str">
        <f t="shared" si="6"/>
        <v>Cmmm    (65) (Cmmm (65))</v>
      </c>
      <c r="K118">
        <v>6.3280000000000003</v>
      </c>
      <c r="L118" s="2">
        <f>K118/11</f>
        <v>0.57527272727272727</v>
      </c>
      <c r="M118" s="2">
        <v>35.415999999999997</v>
      </c>
      <c r="N118" s="2">
        <f t="shared" si="7"/>
        <v>3.2196363636363632</v>
      </c>
      <c r="O118" t="str">
        <f>TEXT(N118,"0.000")&amp;" ("&amp;(TEXT(G118,"0.000")&amp;")")</f>
        <v>3.220 (3.183)</v>
      </c>
    </row>
    <row r="119" spans="1:15" x14ac:dyDescent="0.35">
      <c r="A119">
        <v>191</v>
      </c>
      <c r="B119" t="s">
        <v>21</v>
      </c>
      <c r="C119" t="s">
        <v>22</v>
      </c>
      <c r="D119" s="2">
        <v>3.7090000000000001</v>
      </c>
      <c r="E119" s="2">
        <f t="shared" si="4"/>
        <v>0.33718181818181819</v>
      </c>
      <c r="F119">
        <v>35.014000000000003</v>
      </c>
      <c r="G119" s="2">
        <f t="shared" si="5"/>
        <v>3.1830909090909092</v>
      </c>
      <c r="H119" t="s">
        <v>8</v>
      </c>
      <c r="I119" t="s">
        <v>9</v>
      </c>
      <c r="J119" t="str">
        <f t="shared" si="6"/>
        <v>Cmmm    (65) (Cmmm (65))</v>
      </c>
      <c r="K119">
        <v>6.3280000000000003</v>
      </c>
      <c r="L119" s="2">
        <f>K119/11</f>
        <v>0.57527272727272727</v>
      </c>
      <c r="M119" s="2">
        <v>35.415999999999997</v>
      </c>
      <c r="N119" s="2">
        <f t="shared" si="7"/>
        <v>3.2196363636363632</v>
      </c>
      <c r="O119" t="str">
        <f>TEXT(N119,"0.000")&amp;" ("&amp;(TEXT(G119,"0.000")&amp;")")</f>
        <v>3.220 (3.183)</v>
      </c>
    </row>
    <row r="120" spans="1:15" x14ac:dyDescent="0.35">
      <c r="A120">
        <v>115</v>
      </c>
      <c r="B120" t="s">
        <v>24</v>
      </c>
      <c r="C120" t="s">
        <v>22</v>
      </c>
      <c r="D120" s="2">
        <v>4.1139999999999999</v>
      </c>
      <c r="E120" s="2">
        <f t="shared" si="4"/>
        <v>0.374</v>
      </c>
      <c r="F120">
        <v>34.555</v>
      </c>
      <c r="G120" s="2">
        <f t="shared" si="5"/>
        <v>3.1413636363636361</v>
      </c>
      <c r="H120" t="s">
        <v>5</v>
      </c>
      <c r="I120" t="s">
        <v>31</v>
      </c>
      <c r="J120" t="str">
        <f t="shared" si="6"/>
        <v>C2/m    (12) (C2/m (12))</v>
      </c>
      <c r="K120">
        <v>6.5149999999999997</v>
      </c>
      <c r="L120" s="2">
        <f>K120/11</f>
        <v>0.59227272727272728</v>
      </c>
      <c r="M120" s="2">
        <v>35.003999999999998</v>
      </c>
      <c r="N120" s="2">
        <f t="shared" si="7"/>
        <v>3.1821818181818178</v>
      </c>
      <c r="O120" t="str">
        <f>TEXT(N120,"0.000")&amp;" ("&amp;(TEXT(G120,"0.000")&amp;")")</f>
        <v>3.182 (3.141)</v>
      </c>
    </row>
    <row r="121" spans="1:15" x14ac:dyDescent="0.35">
      <c r="A121">
        <v>152</v>
      </c>
      <c r="B121" t="s">
        <v>21</v>
      </c>
      <c r="C121" t="s">
        <v>22</v>
      </c>
      <c r="D121" s="2">
        <v>4.1139999999999999</v>
      </c>
      <c r="E121" s="2">
        <f t="shared" si="4"/>
        <v>0.374</v>
      </c>
      <c r="F121">
        <v>34.557000000000002</v>
      </c>
      <c r="G121" s="2">
        <f t="shared" si="5"/>
        <v>3.1415454545454549</v>
      </c>
      <c r="H121" t="s">
        <v>5</v>
      </c>
      <c r="I121" t="s">
        <v>31</v>
      </c>
      <c r="J121" t="str">
        <f t="shared" si="6"/>
        <v>C2/m    (12) (C2/m (12))</v>
      </c>
      <c r="K121">
        <v>6.5149999999999997</v>
      </c>
      <c r="L121" s="2">
        <f>K121/11</f>
        <v>0.59227272727272728</v>
      </c>
      <c r="M121" s="2">
        <v>35.005000000000003</v>
      </c>
      <c r="N121" s="2">
        <f t="shared" si="7"/>
        <v>3.1822727272727276</v>
      </c>
      <c r="O121" t="str">
        <f>TEXT(N121,"0.000")&amp;" ("&amp;(TEXT(G121,"0.000")&amp;")")</f>
        <v>3.182 (3.142)</v>
      </c>
    </row>
    <row r="122" spans="1:15" x14ac:dyDescent="0.35">
      <c r="A122">
        <v>162</v>
      </c>
      <c r="B122" t="s">
        <v>23</v>
      </c>
      <c r="C122" t="s">
        <v>22</v>
      </c>
      <c r="D122" s="2">
        <v>4.2489999999999997</v>
      </c>
      <c r="E122" s="2">
        <f t="shared" si="4"/>
        <v>0.38627272727272727</v>
      </c>
      <c r="F122">
        <v>34.109000000000002</v>
      </c>
      <c r="G122" s="2">
        <f t="shared" si="5"/>
        <v>3.1008181818181821</v>
      </c>
      <c r="H122" t="s">
        <v>4</v>
      </c>
      <c r="I122" t="s">
        <v>31</v>
      </c>
      <c r="J122" t="str">
        <f t="shared" si="6"/>
        <v>C2/m    (12) (P-1 (2))</v>
      </c>
      <c r="K122">
        <v>6.5149999999999997</v>
      </c>
      <c r="L122" s="2">
        <f>K122/11</f>
        <v>0.59227272727272728</v>
      </c>
      <c r="M122" s="2">
        <v>35.006</v>
      </c>
      <c r="N122" s="2">
        <f t="shared" si="7"/>
        <v>3.1823636363636365</v>
      </c>
      <c r="O122" t="str">
        <f>TEXT(N122,"0.000")&amp;" ("&amp;(TEXT(G122,"0.000")&amp;")")</f>
        <v>3.182 (3.101)</v>
      </c>
    </row>
    <row r="123" spans="1:15" x14ac:dyDescent="0.35">
      <c r="A123">
        <v>165</v>
      </c>
      <c r="B123" t="s">
        <v>24</v>
      </c>
      <c r="C123" t="s">
        <v>22</v>
      </c>
      <c r="D123" s="2">
        <v>4.1139999999999999</v>
      </c>
      <c r="E123" s="2">
        <f t="shared" si="4"/>
        <v>0.374</v>
      </c>
      <c r="F123">
        <v>34.555999999999997</v>
      </c>
      <c r="G123" s="2">
        <f t="shared" si="5"/>
        <v>3.1414545454545451</v>
      </c>
      <c r="H123" t="s">
        <v>5</v>
      </c>
      <c r="I123" t="s">
        <v>31</v>
      </c>
      <c r="J123" t="str">
        <f t="shared" si="6"/>
        <v>C2/m    (12) (C2/m (12))</v>
      </c>
      <c r="K123">
        <v>6.5149999999999997</v>
      </c>
      <c r="L123" s="2">
        <f>K123/11</f>
        <v>0.59227272727272728</v>
      </c>
      <c r="M123" s="2">
        <v>35.005000000000003</v>
      </c>
      <c r="N123" s="2">
        <f t="shared" si="7"/>
        <v>3.1822727272727276</v>
      </c>
      <c r="O123" t="str">
        <f>TEXT(N123,"0.000")&amp;" ("&amp;(TEXT(G123,"0.000")&amp;")")</f>
        <v>3.182 (3.141)</v>
      </c>
    </row>
    <row r="124" spans="1:15" x14ac:dyDescent="0.35">
      <c r="A124">
        <v>193</v>
      </c>
      <c r="B124" t="s">
        <v>21</v>
      </c>
      <c r="C124" t="s">
        <v>22</v>
      </c>
      <c r="D124" s="2">
        <v>4.1139999999999999</v>
      </c>
      <c r="E124" s="2">
        <f t="shared" si="4"/>
        <v>0.374</v>
      </c>
      <c r="F124">
        <v>34.557000000000002</v>
      </c>
      <c r="G124" s="2">
        <f t="shared" si="5"/>
        <v>3.1415454545454549</v>
      </c>
      <c r="H124" t="s">
        <v>5</v>
      </c>
      <c r="I124" t="s">
        <v>31</v>
      </c>
      <c r="J124" t="str">
        <f t="shared" si="6"/>
        <v>C2/m    (12) (C2/m (12))</v>
      </c>
      <c r="K124">
        <v>6.5149999999999997</v>
      </c>
      <c r="L124" s="2">
        <f>K124/11</f>
        <v>0.59227272727272728</v>
      </c>
      <c r="M124" s="2">
        <v>35.005000000000003</v>
      </c>
      <c r="N124" s="2">
        <f t="shared" si="7"/>
        <v>3.1822727272727276</v>
      </c>
      <c r="O124" t="str">
        <f>TEXT(N124,"0.000")&amp;" ("&amp;(TEXT(G124,"0.000")&amp;")")</f>
        <v>3.182 (3.142)</v>
      </c>
    </row>
    <row r="125" spans="1:15" x14ac:dyDescent="0.35">
      <c r="A125">
        <v>77</v>
      </c>
      <c r="B125" t="s">
        <v>21</v>
      </c>
      <c r="C125" t="s">
        <v>22</v>
      </c>
      <c r="D125" s="2">
        <v>4.2489999999999997</v>
      </c>
      <c r="E125" s="2">
        <f t="shared" si="4"/>
        <v>0.38627272727272727</v>
      </c>
      <c r="F125">
        <v>34.115000000000002</v>
      </c>
      <c r="G125" s="2">
        <f t="shared" si="5"/>
        <v>3.1013636363636365</v>
      </c>
      <c r="H125" t="s">
        <v>4</v>
      </c>
      <c r="I125" t="s">
        <v>31</v>
      </c>
      <c r="J125" t="str">
        <f t="shared" si="6"/>
        <v>C2/m    (12) (P-1 (2))</v>
      </c>
      <c r="K125">
        <v>6.516</v>
      </c>
      <c r="L125" s="2">
        <f>K125/11</f>
        <v>0.59236363636363631</v>
      </c>
      <c r="M125" s="2">
        <v>35.005000000000003</v>
      </c>
      <c r="N125" s="2">
        <f t="shared" si="7"/>
        <v>3.1822727272727276</v>
      </c>
      <c r="O125" t="str">
        <f>TEXT(N125,"0.000")&amp;" ("&amp;(TEXT(G125,"0.000")&amp;")")</f>
        <v>3.182 (3.101)</v>
      </c>
    </row>
    <row r="126" spans="1:15" x14ac:dyDescent="0.35">
      <c r="A126">
        <v>84</v>
      </c>
      <c r="B126" t="s">
        <v>21</v>
      </c>
      <c r="C126" t="s">
        <v>22</v>
      </c>
      <c r="D126" s="2">
        <v>4.1139999999999999</v>
      </c>
      <c r="E126" s="2">
        <f t="shared" si="4"/>
        <v>0.374</v>
      </c>
      <c r="F126">
        <v>34.555999999999997</v>
      </c>
      <c r="G126" s="2">
        <f t="shared" si="5"/>
        <v>3.1414545454545451</v>
      </c>
      <c r="H126" t="s">
        <v>5</v>
      </c>
      <c r="I126" t="s">
        <v>31</v>
      </c>
      <c r="J126" t="str">
        <f t="shared" si="6"/>
        <v>C2/m    (12) (C2/m (12))</v>
      </c>
      <c r="K126">
        <v>6.516</v>
      </c>
      <c r="L126" s="2">
        <f>K126/11</f>
        <v>0.59236363636363631</v>
      </c>
      <c r="M126" s="2">
        <v>35.006</v>
      </c>
      <c r="N126" s="2">
        <f t="shared" si="7"/>
        <v>3.1823636363636365</v>
      </c>
      <c r="O126" t="str">
        <f>TEXT(N126,"0.000")&amp;" ("&amp;(TEXT(G126,"0.000")&amp;")")</f>
        <v>3.182 (3.141)</v>
      </c>
    </row>
    <row r="127" spans="1:15" x14ac:dyDescent="0.35">
      <c r="A127">
        <v>166</v>
      </c>
      <c r="B127" t="s">
        <v>24</v>
      </c>
      <c r="C127" t="s">
        <v>22</v>
      </c>
      <c r="D127" s="2">
        <v>4.1139999999999999</v>
      </c>
      <c r="E127" s="2">
        <f t="shared" si="4"/>
        <v>0.374</v>
      </c>
      <c r="F127">
        <v>34.555999999999997</v>
      </c>
      <c r="G127" s="2">
        <f t="shared" si="5"/>
        <v>3.1414545454545451</v>
      </c>
      <c r="H127" t="s">
        <v>5</v>
      </c>
      <c r="I127" t="s">
        <v>31</v>
      </c>
      <c r="J127" t="str">
        <f t="shared" si="6"/>
        <v>C2/m    (12) (C2/m (12))</v>
      </c>
      <c r="K127">
        <v>6.516</v>
      </c>
      <c r="L127" s="2">
        <f>K127/11</f>
        <v>0.59236363636363631</v>
      </c>
      <c r="M127" s="2">
        <v>35.005000000000003</v>
      </c>
      <c r="N127" s="2">
        <f t="shared" si="7"/>
        <v>3.1822727272727276</v>
      </c>
      <c r="O127" t="str">
        <f>TEXT(N127,"0.000")&amp;" ("&amp;(TEXT(G127,"0.000")&amp;")")</f>
        <v>3.182 (3.141)</v>
      </c>
    </row>
    <row r="128" spans="1:15" x14ac:dyDescent="0.35">
      <c r="A128">
        <v>174</v>
      </c>
      <c r="B128" t="s">
        <v>21</v>
      </c>
      <c r="C128" t="s">
        <v>22</v>
      </c>
      <c r="D128" s="2">
        <v>4.1139999999999999</v>
      </c>
      <c r="E128" s="2">
        <f t="shared" si="4"/>
        <v>0.374</v>
      </c>
      <c r="F128">
        <v>34.555999999999997</v>
      </c>
      <c r="G128" s="2">
        <f t="shared" si="5"/>
        <v>3.1414545454545451</v>
      </c>
      <c r="H128" t="s">
        <v>5</v>
      </c>
      <c r="I128" t="s">
        <v>31</v>
      </c>
      <c r="J128" t="str">
        <f t="shared" si="6"/>
        <v>C2/m    (12) (C2/m (12))</v>
      </c>
      <c r="K128">
        <v>6.516</v>
      </c>
      <c r="L128" s="2">
        <f>K128/11</f>
        <v>0.59236363636363631</v>
      </c>
      <c r="M128" s="2">
        <v>35.005000000000003</v>
      </c>
      <c r="N128" s="2">
        <f t="shared" si="7"/>
        <v>3.1822727272727276</v>
      </c>
      <c r="O128" t="str">
        <f>TEXT(N128,"0.000")&amp;" ("&amp;(TEXT(G128,"0.000")&amp;")")</f>
        <v>3.182 (3.141)</v>
      </c>
    </row>
    <row r="129" spans="1:15" x14ac:dyDescent="0.35">
      <c r="A129">
        <v>15</v>
      </c>
      <c r="B129" t="s">
        <v>23</v>
      </c>
      <c r="C129" t="s">
        <v>22</v>
      </c>
      <c r="D129" s="2">
        <v>4.1139999999999999</v>
      </c>
      <c r="E129" s="2">
        <f t="shared" si="4"/>
        <v>0.374</v>
      </c>
      <c r="F129">
        <v>34.555999999999997</v>
      </c>
      <c r="G129" s="2">
        <f t="shared" si="5"/>
        <v>3.1414545454545451</v>
      </c>
      <c r="H129" t="s">
        <v>5</v>
      </c>
      <c r="I129" t="s">
        <v>31</v>
      </c>
      <c r="J129" t="str">
        <f t="shared" si="6"/>
        <v>C2/m    (12) (C2/m (12))</v>
      </c>
      <c r="K129">
        <v>6.5170000000000003</v>
      </c>
      <c r="L129" s="2">
        <f>K129/11</f>
        <v>0.59245454545454546</v>
      </c>
      <c r="M129" s="2">
        <v>35.003999999999998</v>
      </c>
      <c r="N129" s="2">
        <f t="shared" si="7"/>
        <v>3.1821818181818178</v>
      </c>
      <c r="O129" t="str">
        <f>TEXT(N129,"0.000")&amp;" ("&amp;(TEXT(G129,"0.000")&amp;")")</f>
        <v>3.182 (3.141)</v>
      </c>
    </row>
    <row r="130" spans="1:15" x14ac:dyDescent="0.35">
      <c r="A130">
        <v>96</v>
      </c>
      <c r="B130" t="s">
        <v>21</v>
      </c>
      <c r="C130" t="s">
        <v>22</v>
      </c>
      <c r="D130" s="2">
        <v>4.2489999999999997</v>
      </c>
      <c r="E130" s="2">
        <f t="shared" si="4"/>
        <v>0.38627272727272727</v>
      </c>
      <c r="F130">
        <v>34.090000000000003</v>
      </c>
      <c r="G130" s="2">
        <f t="shared" si="5"/>
        <v>3.0990909090909096</v>
      </c>
      <c r="H130" t="s">
        <v>5</v>
      </c>
      <c r="I130" t="s">
        <v>31</v>
      </c>
      <c r="J130" t="str">
        <f t="shared" si="6"/>
        <v>C2/m    (12) (C2/m (12))</v>
      </c>
      <c r="K130">
        <v>6.5170000000000003</v>
      </c>
      <c r="L130" s="2">
        <f>K130/11</f>
        <v>0.59245454545454546</v>
      </c>
      <c r="M130" s="2">
        <v>35.006</v>
      </c>
      <c r="N130" s="2">
        <f t="shared" si="7"/>
        <v>3.1823636363636365</v>
      </c>
      <c r="O130" t="str">
        <f>TEXT(N130,"0.000")&amp;" ("&amp;(TEXT(G130,"0.000")&amp;")")</f>
        <v>3.182 (3.099)</v>
      </c>
    </row>
    <row r="131" spans="1:15" x14ac:dyDescent="0.35">
      <c r="A131">
        <v>158</v>
      </c>
      <c r="B131" t="s">
        <v>21</v>
      </c>
      <c r="C131" t="s">
        <v>22</v>
      </c>
      <c r="D131" s="2">
        <v>4.1139999999999999</v>
      </c>
      <c r="E131" s="2">
        <f t="shared" ref="E131:E175" si="8">D131/11</f>
        <v>0.374</v>
      </c>
      <c r="F131">
        <v>34.557000000000002</v>
      </c>
      <c r="G131" s="2">
        <f t="shared" ref="G131:G175" si="9">F131/11</f>
        <v>3.1415454545454549</v>
      </c>
      <c r="H131" t="s">
        <v>5</v>
      </c>
      <c r="I131" t="s">
        <v>31</v>
      </c>
      <c r="J131" t="str">
        <f t="shared" ref="J131:J175" si="10">TEXT(I131,"0.000")&amp;" ("&amp;(TEXT(H131,"0.000")&amp;")")</f>
        <v>C2/m    (12) (C2/m (12))</v>
      </c>
      <c r="K131">
        <v>6.5170000000000003</v>
      </c>
      <c r="L131" s="2">
        <f>K131/11</f>
        <v>0.59245454545454546</v>
      </c>
      <c r="M131" s="2">
        <v>35.005000000000003</v>
      </c>
      <c r="N131" s="2">
        <f t="shared" ref="N131:N175" si="11">M131/11</f>
        <v>3.1822727272727276</v>
      </c>
      <c r="O131" t="str">
        <f>TEXT(N131,"0.000")&amp;" ("&amp;(TEXT(G131,"0.000")&amp;")")</f>
        <v>3.182 (3.142)</v>
      </c>
    </row>
    <row r="132" spans="1:15" x14ac:dyDescent="0.35">
      <c r="A132">
        <v>88</v>
      </c>
      <c r="B132" t="s">
        <v>24</v>
      </c>
      <c r="C132" t="s">
        <v>22</v>
      </c>
      <c r="D132" s="2">
        <v>4.0460000000000003</v>
      </c>
      <c r="E132" s="2">
        <f t="shared" si="8"/>
        <v>0.36781818181818182</v>
      </c>
      <c r="F132">
        <v>34.950000000000003</v>
      </c>
      <c r="G132" s="2">
        <f t="shared" si="9"/>
        <v>3.1772727272727277</v>
      </c>
      <c r="H132" t="s">
        <v>1</v>
      </c>
      <c r="I132" t="s">
        <v>32</v>
      </c>
      <c r="J132" t="str">
        <f t="shared" si="10"/>
        <v>Immm    (71) (Immm (71))</v>
      </c>
      <c r="K132">
        <v>6.5860000000000003</v>
      </c>
      <c r="L132" s="2">
        <f>K132/11</f>
        <v>0.59872727272727277</v>
      </c>
      <c r="M132" s="2">
        <v>35.299999999999997</v>
      </c>
      <c r="N132" s="2">
        <f t="shared" si="11"/>
        <v>3.209090909090909</v>
      </c>
      <c r="O132" t="str">
        <f>TEXT(N132,"0.000")&amp;" ("&amp;(TEXT(G132,"0.000")&amp;")")</f>
        <v>3.209 (3.177)</v>
      </c>
    </row>
    <row r="133" spans="1:15" x14ac:dyDescent="0.35">
      <c r="A133">
        <v>119</v>
      </c>
      <c r="B133" t="s">
        <v>21</v>
      </c>
      <c r="C133" t="s">
        <v>22</v>
      </c>
      <c r="D133" s="2">
        <v>4.0460000000000003</v>
      </c>
      <c r="E133" s="2">
        <f t="shared" si="8"/>
        <v>0.36781818181818182</v>
      </c>
      <c r="F133">
        <v>34.948999999999998</v>
      </c>
      <c r="G133" s="2">
        <f t="shared" si="9"/>
        <v>3.1771818181818179</v>
      </c>
      <c r="H133" t="s">
        <v>1</v>
      </c>
      <c r="I133" t="s">
        <v>32</v>
      </c>
      <c r="J133" t="str">
        <f t="shared" si="10"/>
        <v>Immm    (71) (Immm (71))</v>
      </c>
      <c r="K133">
        <v>6.5860000000000003</v>
      </c>
      <c r="L133" s="2">
        <f>K133/11</f>
        <v>0.59872727272727277</v>
      </c>
      <c r="M133" s="2">
        <v>35.295999999999999</v>
      </c>
      <c r="N133" s="2">
        <f t="shared" si="11"/>
        <v>3.2087272727272729</v>
      </c>
      <c r="O133" t="str">
        <f>TEXT(N133,"0.000")&amp;" ("&amp;(TEXT(G133,"0.000")&amp;")")</f>
        <v>3.209 (3.177)</v>
      </c>
    </row>
    <row r="134" spans="1:15" x14ac:dyDescent="0.35">
      <c r="A134">
        <v>14</v>
      </c>
      <c r="B134" t="s">
        <v>23</v>
      </c>
      <c r="C134" t="s">
        <v>22</v>
      </c>
      <c r="D134" s="2">
        <v>4.0460000000000003</v>
      </c>
      <c r="E134" s="2">
        <f t="shared" si="8"/>
        <v>0.36781818181818182</v>
      </c>
      <c r="F134">
        <v>34.950000000000003</v>
      </c>
      <c r="G134" s="2">
        <f t="shared" si="9"/>
        <v>3.1772727272727277</v>
      </c>
      <c r="H134" t="s">
        <v>1</v>
      </c>
      <c r="I134" t="s">
        <v>32</v>
      </c>
      <c r="J134" t="str">
        <f t="shared" si="10"/>
        <v>Immm    (71) (Immm (71))</v>
      </c>
      <c r="K134">
        <v>6.5869999999999997</v>
      </c>
      <c r="L134" s="2">
        <f>K134/11</f>
        <v>0.59881818181818181</v>
      </c>
      <c r="M134" s="2">
        <v>35.299999999999997</v>
      </c>
      <c r="N134" s="2">
        <f t="shared" si="11"/>
        <v>3.209090909090909</v>
      </c>
      <c r="O134" t="str">
        <f>TEXT(N134,"0.000")&amp;" ("&amp;(TEXT(G134,"0.000")&amp;")")</f>
        <v>3.209 (3.177)</v>
      </c>
    </row>
    <row r="135" spans="1:15" x14ac:dyDescent="0.35">
      <c r="A135">
        <v>21</v>
      </c>
      <c r="B135" t="s">
        <v>23</v>
      </c>
      <c r="C135" t="s">
        <v>22</v>
      </c>
      <c r="D135" s="2">
        <v>4.0460000000000003</v>
      </c>
      <c r="E135" s="2">
        <f t="shared" si="8"/>
        <v>0.36781818181818182</v>
      </c>
      <c r="F135">
        <v>34.948999999999998</v>
      </c>
      <c r="G135" s="2">
        <f t="shared" si="9"/>
        <v>3.1771818181818179</v>
      </c>
      <c r="H135" t="s">
        <v>1</v>
      </c>
      <c r="I135" t="s">
        <v>32</v>
      </c>
      <c r="J135" t="str">
        <f t="shared" si="10"/>
        <v>Immm    (71) (Immm (71))</v>
      </c>
      <c r="K135">
        <v>6.5880000000000001</v>
      </c>
      <c r="L135" s="2">
        <f>K135/11</f>
        <v>0.59890909090909095</v>
      </c>
      <c r="M135" s="2">
        <v>35.301000000000002</v>
      </c>
      <c r="N135" s="2">
        <f t="shared" si="11"/>
        <v>3.2091818181818184</v>
      </c>
      <c r="O135" t="str">
        <f>TEXT(N135,"0.000")&amp;" ("&amp;(TEXT(G135,"0.000")&amp;")")</f>
        <v>3.209 (3.177)</v>
      </c>
    </row>
    <row r="136" spans="1:15" x14ac:dyDescent="0.35">
      <c r="A136">
        <v>214</v>
      </c>
      <c r="B136" t="s">
        <v>23</v>
      </c>
      <c r="C136" t="s">
        <v>22</v>
      </c>
      <c r="D136" s="2">
        <v>4.3159999999999998</v>
      </c>
      <c r="E136" s="2">
        <f t="shared" si="8"/>
        <v>0.39236363636363636</v>
      </c>
      <c r="F136">
        <v>34.863999999999997</v>
      </c>
      <c r="G136" s="2">
        <f t="shared" si="9"/>
        <v>3.1694545454545451</v>
      </c>
      <c r="H136" t="s">
        <v>1</v>
      </c>
      <c r="I136" t="s">
        <v>32</v>
      </c>
      <c r="J136" t="str">
        <f t="shared" si="10"/>
        <v>Immm    (71) (Immm (71))</v>
      </c>
      <c r="K136">
        <v>6.5880000000000001</v>
      </c>
      <c r="L136" s="2">
        <f>K136/11</f>
        <v>0.59890909090909095</v>
      </c>
      <c r="M136" s="2">
        <v>35.301000000000002</v>
      </c>
      <c r="N136" s="2">
        <f t="shared" si="11"/>
        <v>3.2091818181818184</v>
      </c>
      <c r="O136" t="str">
        <f>TEXT(N136,"0.000")&amp;" ("&amp;(TEXT(G136,"0.000")&amp;")")</f>
        <v>3.209 (3.169)</v>
      </c>
    </row>
    <row r="137" spans="1:15" x14ac:dyDescent="0.35">
      <c r="A137">
        <v>89</v>
      </c>
      <c r="B137" t="s">
        <v>24</v>
      </c>
      <c r="C137" t="s">
        <v>22</v>
      </c>
      <c r="D137" s="2">
        <v>4.0460000000000003</v>
      </c>
      <c r="E137" s="2">
        <f t="shared" si="8"/>
        <v>0.36781818181818182</v>
      </c>
      <c r="F137">
        <v>34.950000000000003</v>
      </c>
      <c r="G137" s="2">
        <f t="shared" si="9"/>
        <v>3.1772727272727277</v>
      </c>
      <c r="H137" t="s">
        <v>1</v>
      </c>
      <c r="I137" t="s">
        <v>32</v>
      </c>
      <c r="J137" t="str">
        <f t="shared" si="10"/>
        <v>Immm    (71) (Immm (71))</v>
      </c>
      <c r="K137">
        <v>6.5890000000000004</v>
      </c>
      <c r="L137" s="2">
        <f>K137/11</f>
        <v>0.59900000000000009</v>
      </c>
      <c r="M137" s="2">
        <v>35.298000000000002</v>
      </c>
      <c r="N137" s="2">
        <f t="shared" si="11"/>
        <v>3.2089090909090912</v>
      </c>
      <c r="O137" t="str">
        <f>TEXT(N137,"0.000")&amp;" ("&amp;(TEXT(G137,"0.000")&amp;")")</f>
        <v>3.209 (3.177)</v>
      </c>
    </row>
    <row r="138" spans="1:15" x14ac:dyDescent="0.35">
      <c r="A138">
        <v>76</v>
      </c>
      <c r="B138" t="s">
        <v>21</v>
      </c>
      <c r="C138" t="s">
        <v>22</v>
      </c>
      <c r="D138" s="2">
        <v>4.1849999999999996</v>
      </c>
      <c r="E138" s="2">
        <f t="shared" si="8"/>
        <v>0.38045454545454543</v>
      </c>
      <c r="F138">
        <v>34.57</v>
      </c>
      <c r="G138" s="2">
        <f t="shared" si="9"/>
        <v>3.1427272727272726</v>
      </c>
      <c r="H138" t="s">
        <v>33</v>
      </c>
      <c r="I138" t="s">
        <v>34</v>
      </c>
      <c r="J138" t="str">
        <f t="shared" si="10"/>
        <v>R3m     (160) (R3m (160))</v>
      </c>
      <c r="K138">
        <v>6.5940000000000003</v>
      </c>
      <c r="L138" s="2">
        <f>K138/11</f>
        <v>0.59945454545454546</v>
      </c>
      <c r="M138" s="2">
        <v>35.152999999999999</v>
      </c>
      <c r="N138" s="2">
        <f t="shared" si="11"/>
        <v>3.1957272727272725</v>
      </c>
      <c r="O138" t="str">
        <f>TEXT(N138,"0.000")&amp;" ("&amp;(TEXT(G138,"0.000")&amp;")")</f>
        <v>3.196 (3.143)</v>
      </c>
    </row>
    <row r="139" spans="1:15" x14ac:dyDescent="0.35">
      <c r="A139">
        <v>38</v>
      </c>
      <c r="B139" t="s">
        <v>21</v>
      </c>
      <c r="C139" t="s">
        <v>22</v>
      </c>
      <c r="D139" s="2">
        <v>4.1849999999999996</v>
      </c>
      <c r="E139" s="2">
        <f t="shared" si="8"/>
        <v>0.38045454545454543</v>
      </c>
      <c r="F139">
        <v>34.57</v>
      </c>
      <c r="G139" s="2">
        <f t="shared" si="9"/>
        <v>3.1427272727272726</v>
      </c>
      <c r="H139" t="s">
        <v>33</v>
      </c>
      <c r="I139" t="s">
        <v>34</v>
      </c>
      <c r="J139" t="str">
        <f t="shared" si="10"/>
        <v>R3m     (160) (R3m (160))</v>
      </c>
      <c r="K139">
        <v>6.5960000000000001</v>
      </c>
      <c r="L139" s="2">
        <f>K139/11</f>
        <v>0.59963636363636363</v>
      </c>
      <c r="M139" s="2">
        <v>35.154000000000003</v>
      </c>
      <c r="N139" s="2">
        <f t="shared" si="11"/>
        <v>3.1958181818181823</v>
      </c>
      <c r="O139" t="str">
        <f>TEXT(N139,"0.000")&amp;" ("&amp;(TEXT(G139,"0.000")&amp;")")</f>
        <v>3.196 (3.143)</v>
      </c>
    </row>
    <row r="140" spans="1:15" x14ac:dyDescent="0.35">
      <c r="A140">
        <v>46</v>
      </c>
      <c r="B140" t="s">
        <v>23</v>
      </c>
      <c r="C140" t="s">
        <v>22</v>
      </c>
      <c r="D140" s="2">
        <v>12.946999999999999</v>
      </c>
      <c r="E140" s="2">
        <f t="shared" si="8"/>
        <v>1.1769999999999998</v>
      </c>
      <c r="F140">
        <v>37.737000000000002</v>
      </c>
      <c r="G140" s="2">
        <f t="shared" si="9"/>
        <v>3.4306363636363639</v>
      </c>
      <c r="H140" t="s">
        <v>7</v>
      </c>
      <c r="I140" t="s">
        <v>31</v>
      </c>
      <c r="J140" t="str">
        <f t="shared" si="10"/>
        <v>C2/m    (12) (I4/mmm (139))</v>
      </c>
      <c r="K140">
        <v>6.6280000000000001</v>
      </c>
      <c r="L140" s="2">
        <f>K140/11</f>
        <v>0.60254545454545461</v>
      </c>
      <c r="M140" s="2">
        <v>35.249000000000002</v>
      </c>
      <c r="N140" s="2">
        <f t="shared" si="11"/>
        <v>3.2044545454545457</v>
      </c>
      <c r="O140" t="str">
        <f>TEXT(N140,"0.000")&amp;" ("&amp;(TEXT(G140,"0.000")&amp;")")</f>
        <v>3.204 (3.431)</v>
      </c>
    </row>
    <row r="141" spans="1:15" x14ac:dyDescent="0.35">
      <c r="A141">
        <v>55</v>
      </c>
      <c r="B141" t="s">
        <v>21</v>
      </c>
      <c r="C141" t="s">
        <v>22</v>
      </c>
      <c r="D141" s="2">
        <v>4.1849999999999996</v>
      </c>
      <c r="E141" s="2">
        <f t="shared" si="8"/>
        <v>0.38045454545454543</v>
      </c>
      <c r="F141">
        <v>35.015999999999998</v>
      </c>
      <c r="G141" s="2">
        <f t="shared" si="9"/>
        <v>3.183272727272727</v>
      </c>
      <c r="H141" t="s">
        <v>5</v>
      </c>
      <c r="I141" t="s">
        <v>31</v>
      </c>
      <c r="J141" t="str">
        <f t="shared" si="10"/>
        <v>C2/m    (12) (C2/m (12))</v>
      </c>
      <c r="K141">
        <v>6.6280000000000001</v>
      </c>
      <c r="L141" s="2">
        <f>K141/11</f>
        <v>0.60254545454545461</v>
      </c>
      <c r="M141" s="2">
        <v>35.249000000000002</v>
      </c>
      <c r="N141" s="2">
        <f t="shared" si="11"/>
        <v>3.2044545454545457</v>
      </c>
      <c r="O141" t="str">
        <f>TEXT(N141,"0.000")&amp;" ("&amp;(TEXT(G141,"0.000")&amp;")")</f>
        <v>3.204 (3.183)</v>
      </c>
    </row>
    <row r="142" spans="1:15" x14ac:dyDescent="0.35">
      <c r="A142">
        <v>60</v>
      </c>
      <c r="B142" t="s">
        <v>21</v>
      </c>
      <c r="C142" t="s">
        <v>22</v>
      </c>
      <c r="D142" s="2">
        <v>4.6399999999999997</v>
      </c>
      <c r="E142" s="2">
        <f t="shared" si="8"/>
        <v>0.42181818181818181</v>
      </c>
      <c r="F142">
        <v>35.170999999999999</v>
      </c>
      <c r="G142" s="2">
        <f t="shared" si="9"/>
        <v>3.1973636363636362</v>
      </c>
      <c r="H142" t="s">
        <v>4</v>
      </c>
      <c r="I142" t="s">
        <v>31</v>
      </c>
      <c r="J142" t="str">
        <f t="shared" si="10"/>
        <v>C2/m    (12) (P-1 (2))</v>
      </c>
      <c r="K142">
        <v>6.6289999999999996</v>
      </c>
      <c r="L142" s="2">
        <f>K142/11</f>
        <v>0.60263636363636364</v>
      </c>
      <c r="M142" s="2">
        <v>35.249000000000002</v>
      </c>
      <c r="N142" s="2">
        <f t="shared" si="11"/>
        <v>3.2044545454545457</v>
      </c>
      <c r="O142" t="str">
        <f>TEXT(N142,"0.000")&amp;" ("&amp;(TEXT(G142,"0.000")&amp;")")</f>
        <v>3.204 (3.197)</v>
      </c>
    </row>
    <row r="143" spans="1:15" x14ac:dyDescent="0.35">
      <c r="A143">
        <v>132</v>
      </c>
      <c r="B143" t="s">
        <v>24</v>
      </c>
      <c r="C143" t="s">
        <v>22</v>
      </c>
      <c r="D143" s="2">
        <v>4.1849999999999996</v>
      </c>
      <c r="E143" s="2">
        <f t="shared" si="8"/>
        <v>0.38045454545454543</v>
      </c>
      <c r="F143">
        <v>35.015000000000001</v>
      </c>
      <c r="G143" s="2">
        <f t="shared" si="9"/>
        <v>3.1831818181818181</v>
      </c>
      <c r="H143" t="s">
        <v>5</v>
      </c>
      <c r="I143" t="s">
        <v>31</v>
      </c>
      <c r="J143" t="str">
        <f t="shared" si="10"/>
        <v>C2/m    (12) (C2/m (12))</v>
      </c>
      <c r="K143">
        <v>6.6289999999999996</v>
      </c>
      <c r="L143" s="2">
        <f>K143/11</f>
        <v>0.60263636363636364</v>
      </c>
      <c r="M143" s="2">
        <v>35.247999999999998</v>
      </c>
      <c r="N143" s="2">
        <f t="shared" si="11"/>
        <v>3.2043636363636363</v>
      </c>
      <c r="O143" t="str">
        <f>TEXT(N143,"0.000")&amp;" ("&amp;(TEXT(G143,"0.000")&amp;")")</f>
        <v>3.204 (3.183)</v>
      </c>
    </row>
    <row r="144" spans="1:15" x14ac:dyDescent="0.35">
      <c r="A144">
        <v>133</v>
      </c>
      <c r="B144" t="s">
        <v>24</v>
      </c>
      <c r="C144" t="s">
        <v>22</v>
      </c>
      <c r="D144" s="2">
        <v>4.1849999999999996</v>
      </c>
      <c r="E144" s="2">
        <f t="shared" si="8"/>
        <v>0.38045454545454543</v>
      </c>
      <c r="F144">
        <v>35.015999999999998</v>
      </c>
      <c r="G144" s="2">
        <f t="shared" si="9"/>
        <v>3.183272727272727</v>
      </c>
      <c r="H144" t="s">
        <v>5</v>
      </c>
      <c r="I144" t="s">
        <v>31</v>
      </c>
      <c r="J144" t="str">
        <f t="shared" si="10"/>
        <v>C2/m    (12) (C2/m (12))</v>
      </c>
      <c r="K144">
        <v>6.6289999999999996</v>
      </c>
      <c r="L144" s="2">
        <f>K144/11</f>
        <v>0.60263636363636364</v>
      </c>
      <c r="M144" s="2">
        <v>35.247999999999998</v>
      </c>
      <c r="N144" s="2">
        <f t="shared" si="11"/>
        <v>3.2043636363636363</v>
      </c>
      <c r="O144" t="str">
        <f>TEXT(N144,"0.000")&amp;" ("&amp;(TEXT(G144,"0.000")&amp;")")</f>
        <v>3.204 (3.183)</v>
      </c>
    </row>
    <row r="145" spans="1:15" x14ac:dyDescent="0.35">
      <c r="A145">
        <v>160</v>
      </c>
      <c r="B145" t="s">
        <v>21</v>
      </c>
      <c r="C145" t="s">
        <v>22</v>
      </c>
      <c r="D145" s="2">
        <v>4.1970000000000001</v>
      </c>
      <c r="E145" s="2">
        <f t="shared" si="8"/>
        <v>0.38154545454545458</v>
      </c>
      <c r="F145">
        <v>35.462000000000003</v>
      </c>
      <c r="G145" s="2">
        <f t="shared" si="9"/>
        <v>3.2238181818181819</v>
      </c>
      <c r="H145" t="s">
        <v>5</v>
      </c>
      <c r="I145" t="s">
        <v>31</v>
      </c>
      <c r="J145" t="str">
        <f t="shared" si="10"/>
        <v>C2/m    (12) (C2/m (12))</v>
      </c>
      <c r="K145">
        <v>6.7290000000000001</v>
      </c>
      <c r="L145" s="2">
        <f>K145/11</f>
        <v>0.61172727272727279</v>
      </c>
      <c r="M145" s="2">
        <v>35.707000000000001</v>
      </c>
      <c r="N145" s="2">
        <f t="shared" si="11"/>
        <v>3.2460909090909094</v>
      </c>
      <c r="O145" t="str">
        <f>TEXT(N145,"0.000")&amp;" ("&amp;(TEXT(G145,"0.000")&amp;")")</f>
        <v>3.246 (3.224)</v>
      </c>
    </row>
    <row r="146" spans="1:15" x14ac:dyDescent="0.35">
      <c r="A146">
        <v>161</v>
      </c>
      <c r="B146" t="s">
        <v>21</v>
      </c>
      <c r="C146" t="s">
        <v>22</v>
      </c>
      <c r="D146" s="2">
        <v>4.1970000000000001</v>
      </c>
      <c r="E146" s="2">
        <f t="shared" si="8"/>
        <v>0.38154545454545458</v>
      </c>
      <c r="F146">
        <v>35.463000000000001</v>
      </c>
      <c r="G146" s="2">
        <f t="shared" si="9"/>
        <v>3.2239090909090908</v>
      </c>
      <c r="H146" t="s">
        <v>5</v>
      </c>
      <c r="I146" t="s">
        <v>31</v>
      </c>
      <c r="J146" t="str">
        <f t="shared" si="10"/>
        <v>C2/m    (12) (C2/m (12))</v>
      </c>
      <c r="K146" s="2">
        <v>6.73</v>
      </c>
      <c r="L146" s="2">
        <f>K146/11</f>
        <v>0.61181818181818182</v>
      </c>
      <c r="M146" s="2">
        <v>35.709000000000003</v>
      </c>
      <c r="N146" s="2">
        <f t="shared" si="11"/>
        <v>3.2462727272727276</v>
      </c>
      <c r="O146" t="str">
        <f>TEXT(N146,"0.000")&amp;" ("&amp;(TEXT(G146,"0.000")&amp;")")</f>
        <v>3.246 (3.224)</v>
      </c>
    </row>
    <row r="147" spans="1:15" x14ac:dyDescent="0.35">
      <c r="A147">
        <v>213</v>
      </c>
      <c r="B147" t="s">
        <v>23</v>
      </c>
      <c r="C147" t="s">
        <v>22</v>
      </c>
      <c r="D147" s="2">
        <v>4.1970000000000001</v>
      </c>
      <c r="E147" s="2">
        <f t="shared" si="8"/>
        <v>0.38154545454545458</v>
      </c>
      <c r="F147">
        <v>35.462000000000003</v>
      </c>
      <c r="G147" s="2">
        <f t="shared" si="9"/>
        <v>3.2238181818181819</v>
      </c>
      <c r="H147" t="s">
        <v>5</v>
      </c>
      <c r="I147" t="s">
        <v>31</v>
      </c>
      <c r="J147" t="str">
        <f t="shared" si="10"/>
        <v>C2/m    (12) (C2/m (12))</v>
      </c>
      <c r="K147" s="2">
        <v>6.73</v>
      </c>
      <c r="L147" s="2">
        <f>K147/11</f>
        <v>0.61181818181818182</v>
      </c>
      <c r="M147" s="2">
        <v>35.71</v>
      </c>
      <c r="N147" s="2">
        <f t="shared" si="11"/>
        <v>3.2463636363636366</v>
      </c>
      <c r="O147" t="str">
        <f>TEXT(N147,"0.000")&amp;" ("&amp;(TEXT(G147,"0.000")&amp;")")</f>
        <v>3.246 (3.224)</v>
      </c>
    </row>
    <row r="148" spans="1:15" x14ac:dyDescent="0.35">
      <c r="A148">
        <v>7</v>
      </c>
      <c r="B148" t="s">
        <v>23</v>
      </c>
      <c r="C148" t="s">
        <v>22</v>
      </c>
      <c r="D148" s="2">
        <v>5.085</v>
      </c>
      <c r="E148" s="2">
        <f t="shared" si="8"/>
        <v>0.46227272727272728</v>
      </c>
      <c r="F148">
        <v>35.149000000000001</v>
      </c>
      <c r="G148" s="2">
        <f t="shared" si="9"/>
        <v>3.1953636363636364</v>
      </c>
      <c r="H148" t="s">
        <v>29</v>
      </c>
      <c r="I148" t="s">
        <v>31</v>
      </c>
      <c r="J148" t="str">
        <f t="shared" si="10"/>
        <v>C2/m    (12) (P6/mmm (191))</v>
      </c>
      <c r="K148">
        <v>6.7309999999999999</v>
      </c>
      <c r="L148" s="2">
        <f>K148/11</f>
        <v>0.61190909090909085</v>
      </c>
      <c r="M148" s="2">
        <v>35.71</v>
      </c>
      <c r="N148" s="2">
        <f t="shared" si="11"/>
        <v>3.2463636363636366</v>
      </c>
      <c r="O148" t="str">
        <f>TEXT(N148,"0.000")&amp;" ("&amp;(TEXT(G148,"0.000")&amp;")")</f>
        <v>3.246 (3.195)</v>
      </c>
    </row>
    <row r="149" spans="1:15" x14ac:dyDescent="0.35">
      <c r="A149">
        <v>135</v>
      </c>
      <c r="B149" t="s">
        <v>21</v>
      </c>
      <c r="C149" t="s">
        <v>22</v>
      </c>
      <c r="D149" s="2">
        <v>4.1970000000000001</v>
      </c>
      <c r="E149" s="2">
        <f t="shared" si="8"/>
        <v>0.38154545454545458</v>
      </c>
      <c r="F149">
        <v>35.462000000000003</v>
      </c>
      <c r="G149" s="2">
        <f t="shared" si="9"/>
        <v>3.2238181818181819</v>
      </c>
      <c r="H149" t="s">
        <v>5</v>
      </c>
      <c r="I149" t="s">
        <v>31</v>
      </c>
      <c r="J149" t="str">
        <f t="shared" si="10"/>
        <v>C2/m    (12) (C2/m (12))</v>
      </c>
      <c r="K149">
        <v>6.7320000000000002</v>
      </c>
      <c r="L149" s="2">
        <f>K149/11</f>
        <v>0.61199999999999999</v>
      </c>
      <c r="M149" s="2">
        <v>35.709000000000003</v>
      </c>
      <c r="N149" s="2">
        <f t="shared" si="11"/>
        <v>3.2462727272727276</v>
      </c>
      <c r="O149" t="str">
        <f>TEXT(N149,"0.000")&amp;" ("&amp;(TEXT(G149,"0.000")&amp;")")</f>
        <v>3.246 (3.224)</v>
      </c>
    </row>
    <row r="150" spans="1:15" x14ac:dyDescent="0.35">
      <c r="A150">
        <v>78</v>
      </c>
      <c r="B150" t="s">
        <v>21</v>
      </c>
      <c r="C150" t="s">
        <v>22</v>
      </c>
      <c r="D150" s="2">
        <v>4.1970000000000001</v>
      </c>
      <c r="E150" s="2">
        <f t="shared" si="8"/>
        <v>0.38154545454545458</v>
      </c>
      <c r="F150">
        <v>35.462000000000003</v>
      </c>
      <c r="G150" s="2">
        <f t="shared" si="9"/>
        <v>3.2238181818181819</v>
      </c>
      <c r="H150" t="s">
        <v>5</v>
      </c>
      <c r="I150" t="s">
        <v>31</v>
      </c>
      <c r="J150" t="str">
        <f t="shared" si="10"/>
        <v>C2/m    (12) (C2/m (12))</v>
      </c>
      <c r="K150">
        <v>6.7329999999999997</v>
      </c>
      <c r="L150" s="2">
        <f>K150/11</f>
        <v>0.61209090909090902</v>
      </c>
      <c r="M150" s="2">
        <v>35.712000000000003</v>
      </c>
      <c r="N150" s="2">
        <f t="shared" si="11"/>
        <v>3.2465454545454548</v>
      </c>
      <c r="O150" t="str">
        <f>TEXT(N150,"0.000")&amp;" ("&amp;(TEXT(G150,"0.000")&amp;")")</f>
        <v>3.247 (3.224)</v>
      </c>
    </row>
    <row r="151" spans="1:15" x14ac:dyDescent="0.35">
      <c r="A151">
        <v>145</v>
      </c>
      <c r="B151" t="s">
        <v>23</v>
      </c>
      <c r="C151" t="s">
        <v>22</v>
      </c>
      <c r="D151" s="2">
        <v>4.266</v>
      </c>
      <c r="E151" s="2">
        <f t="shared" si="8"/>
        <v>0.38781818181818184</v>
      </c>
      <c r="F151">
        <v>35.314999999999998</v>
      </c>
      <c r="G151" s="2">
        <f t="shared" si="9"/>
        <v>3.2104545454545454</v>
      </c>
      <c r="H151" t="s">
        <v>5</v>
      </c>
      <c r="I151" t="s">
        <v>31</v>
      </c>
      <c r="J151" t="str">
        <f t="shared" si="10"/>
        <v>C2/m    (12) (C2/m (12))</v>
      </c>
      <c r="K151">
        <v>6.7720000000000002</v>
      </c>
      <c r="L151" s="2">
        <f>K151/11</f>
        <v>0.61563636363636365</v>
      </c>
      <c r="M151" s="2">
        <v>35.585000000000001</v>
      </c>
      <c r="N151" s="2">
        <f t="shared" si="11"/>
        <v>3.2349999999999999</v>
      </c>
      <c r="O151" t="str">
        <f>TEXT(N151,"0.000")&amp;" ("&amp;(TEXT(G151,"0.000")&amp;")")</f>
        <v>3.235 (3.210)</v>
      </c>
    </row>
    <row r="152" spans="1:15" x14ac:dyDescent="0.35">
      <c r="A152">
        <v>175</v>
      </c>
      <c r="B152" t="s">
        <v>23</v>
      </c>
      <c r="C152" t="s">
        <v>22</v>
      </c>
      <c r="D152" s="2">
        <v>4.266</v>
      </c>
      <c r="E152" s="2">
        <f t="shared" si="8"/>
        <v>0.38781818181818184</v>
      </c>
      <c r="F152">
        <v>35.316000000000003</v>
      </c>
      <c r="G152" s="2">
        <f t="shared" si="9"/>
        <v>3.2105454545454548</v>
      </c>
      <c r="H152" t="s">
        <v>5</v>
      </c>
      <c r="I152" t="s">
        <v>31</v>
      </c>
      <c r="J152" t="str">
        <f t="shared" si="10"/>
        <v>C2/m    (12) (C2/m (12))</v>
      </c>
      <c r="K152">
        <v>6.774</v>
      </c>
      <c r="L152" s="2">
        <f>K152/11</f>
        <v>0.61581818181818182</v>
      </c>
      <c r="M152" s="2">
        <v>35.585000000000001</v>
      </c>
      <c r="N152" s="2">
        <f t="shared" si="11"/>
        <v>3.2349999999999999</v>
      </c>
      <c r="O152" t="str">
        <f>TEXT(N152,"0.000")&amp;" ("&amp;(TEXT(G152,"0.000")&amp;")")</f>
        <v>3.235 (3.211)</v>
      </c>
    </row>
    <row r="153" spans="1:15" x14ac:dyDescent="0.35">
      <c r="A153">
        <v>61</v>
      </c>
      <c r="B153" t="s">
        <v>23</v>
      </c>
      <c r="C153" t="s">
        <v>22</v>
      </c>
      <c r="D153" s="2">
        <v>6.5430000000000001</v>
      </c>
      <c r="E153" s="2">
        <f t="shared" si="8"/>
        <v>0.5948181818181818</v>
      </c>
      <c r="F153">
        <v>35.302999999999997</v>
      </c>
      <c r="G153" s="2">
        <f t="shared" si="9"/>
        <v>3.2093636363636362</v>
      </c>
      <c r="H153" t="s">
        <v>35</v>
      </c>
      <c r="I153" t="s">
        <v>31</v>
      </c>
      <c r="J153" t="str">
        <f t="shared" si="10"/>
        <v>C2/m    (12) (R32 (155))</v>
      </c>
      <c r="K153">
        <v>6.7750000000000004</v>
      </c>
      <c r="L153" s="2">
        <f>K153/11</f>
        <v>0.61590909090909096</v>
      </c>
      <c r="M153" s="2">
        <v>35.588000000000001</v>
      </c>
      <c r="N153" s="2">
        <f t="shared" si="11"/>
        <v>3.2352727272727275</v>
      </c>
      <c r="O153" t="str">
        <f>TEXT(N153,"0.000")&amp;" ("&amp;(TEXT(G153,"0.000")&amp;")")</f>
        <v>3.235 (3.209)</v>
      </c>
    </row>
    <row r="154" spans="1:15" x14ac:dyDescent="0.35">
      <c r="A154">
        <v>8</v>
      </c>
      <c r="B154" t="s">
        <v>23</v>
      </c>
      <c r="C154" t="s">
        <v>22</v>
      </c>
      <c r="D154" s="2">
        <v>4.6109999999999998</v>
      </c>
      <c r="E154" s="2">
        <f t="shared" si="8"/>
        <v>0.41918181818181816</v>
      </c>
      <c r="F154">
        <v>35.863999999999997</v>
      </c>
      <c r="G154" s="2">
        <f t="shared" si="9"/>
        <v>3.2603636363636359</v>
      </c>
      <c r="H154" t="s">
        <v>5</v>
      </c>
      <c r="I154" t="s">
        <v>31</v>
      </c>
      <c r="J154" t="str">
        <f t="shared" si="10"/>
        <v>C2/m    (12) (C2/m (12))</v>
      </c>
      <c r="K154">
        <v>6.7759999999999998</v>
      </c>
      <c r="L154" s="2">
        <f>K154/11</f>
        <v>0.61599999999999999</v>
      </c>
      <c r="M154" s="2">
        <v>35.588000000000001</v>
      </c>
      <c r="N154" s="2">
        <f t="shared" si="11"/>
        <v>3.2352727272727275</v>
      </c>
      <c r="O154" t="str">
        <f>TEXT(N154,"0.000")&amp;" ("&amp;(TEXT(G154,"0.000")&amp;")")</f>
        <v>3.235 (3.260)</v>
      </c>
    </row>
    <row r="155" spans="1:15" x14ac:dyDescent="0.35">
      <c r="A155">
        <v>18</v>
      </c>
      <c r="B155" t="s">
        <v>23</v>
      </c>
      <c r="C155" t="s">
        <v>22</v>
      </c>
      <c r="D155" s="2">
        <v>4.266</v>
      </c>
      <c r="E155" s="2">
        <f t="shared" si="8"/>
        <v>0.38781818181818184</v>
      </c>
      <c r="F155">
        <v>35.314999999999998</v>
      </c>
      <c r="G155" s="2">
        <f t="shared" si="9"/>
        <v>3.2104545454545454</v>
      </c>
      <c r="H155" t="s">
        <v>5</v>
      </c>
      <c r="I155" t="s">
        <v>31</v>
      </c>
      <c r="J155" t="str">
        <f t="shared" si="10"/>
        <v>C2/m    (12) (C2/m (12))</v>
      </c>
      <c r="K155">
        <v>6.7759999999999998</v>
      </c>
      <c r="L155" s="2">
        <f>K155/11</f>
        <v>0.61599999999999999</v>
      </c>
      <c r="M155" s="2">
        <v>35.588999999999999</v>
      </c>
      <c r="N155" s="2">
        <f t="shared" si="11"/>
        <v>3.2353636363636364</v>
      </c>
      <c r="O155" t="str">
        <f>TEXT(N155,"0.000")&amp;" ("&amp;(TEXT(G155,"0.000")&amp;")")</f>
        <v>3.235 (3.210)</v>
      </c>
    </row>
    <row r="156" spans="1:15" x14ac:dyDescent="0.35">
      <c r="A156">
        <v>65</v>
      </c>
      <c r="B156" t="s">
        <v>23</v>
      </c>
      <c r="C156" t="s">
        <v>22</v>
      </c>
      <c r="D156" s="2">
        <v>4.266</v>
      </c>
      <c r="E156" s="2">
        <f t="shared" si="8"/>
        <v>0.38781818181818184</v>
      </c>
      <c r="F156">
        <v>35.314999999999998</v>
      </c>
      <c r="G156" s="2">
        <f t="shared" si="9"/>
        <v>3.2104545454545454</v>
      </c>
      <c r="H156" t="s">
        <v>5</v>
      </c>
      <c r="I156" t="s">
        <v>31</v>
      </c>
      <c r="J156" t="str">
        <f t="shared" si="10"/>
        <v>C2/m    (12) (C2/m (12))</v>
      </c>
      <c r="K156">
        <v>6.7759999999999998</v>
      </c>
      <c r="L156" s="2">
        <f>K156/11</f>
        <v>0.61599999999999999</v>
      </c>
      <c r="M156" s="2">
        <v>35.588000000000001</v>
      </c>
      <c r="N156" s="2">
        <f t="shared" si="11"/>
        <v>3.2352727272727275</v>
      </c>
      <c r="O156" t="str">
        <f>TEXT(N156,"0.000")&amp;" ("&amp;(TEXT(G156,"0.000")&amp;")")</f>
        <v>3.235 (3.210)</v>
      </c>
    </row>
    <row r="157" spans="1:15" x14ac:dyDescent="0.35">
      <c r="A157">
        <v>195</v>
      </c>
      <c r="B157" t="s">
        <v>23</v>
      </c>
      <c r="C157" t="s">
        <v>22</v>
      </c>
      <c r="D157" s="2">
        <v>4.266</v>
      </c>
      <c r="E157" s="2">
        <f t="shared" si="8"/>
        <v>0.38781818181818184</v>
      </c>
      <c r="F157">
        <v>35.316000000000003</v>
      </c>
      <c r="G157" s="2">
        <f t="shared" si="9"/>
        <v>3.2105454545454548</v>
      </c>
      <c r="H157" t="s">
        <v>5</v>
      </c>
      <c r="I157" t="s">
        <v>31</v>
      </c>
      <c r="J157" t="str">
        <f t="shared" si="10"/>
        <v>C2/m    (12) (C2/m (12))</v>
      </c>
      <c r="K157">
        <v>6.7759999999999998</v>
      </c>
      <c r="L157" s="2">
        <f>K157/11</f>
        <v>0.61599999999999999</v>
      </c>
      <c r="M157" s="2">
        <v>35.588000000000001</v>
      </c>
      <c r="N157" s="2">
        <f t="shared" si="11"/>
        <v>3.2352727272727275</v>
      </c>
      <c r="O157" t="str">
        <f>TEXT(N157,"0.000")&amp;" ("&amp;(TEXT(G157,"0.000")&amp;")")</f>
        <v>3.235 (3.211)</v>
      </c>
    </row>
    <row r="158" spans="1:15" x14ac:dyDescent="0.35">
      <c r="A158">
        <v>3</v>
      </c>
      <c r="B158" t="s">
        <v>23</v>
      </c>
      <c r="C158" t="s">
        <v>22</v>
      </c>
      <c r="D158" s="2">
        <v>5.52</v>
      </c>
      <c r="E158" s="2">
        <f t="shared" si="8"/>
        <v>0.50181818181818183</v>
      </c>
      <c r="F158">
        <v>34.912999999999997</v>
      </c>
      <c r="G158" s="2">
        <f t="shared" si="9"/>
        <v>3.1739090909090906</v>
      </c>
      <c r="H158" t="s">
        <v>33</v>
      </c>
      <c r="I158" t="s">
        <v>31</v>
      </c>
      <c r="J158" t="str">
        <f t="shared" si="10"/>
        <v>C2/m    (12) (R3m (160))</v>
      </c>
      <c r="K158">
        <v>6.7770000000000001</v>
      </c>
      <c r="L158" s="2">
        <f>K158/11</f>
        <v>0.61609090909090913</v>
      </c>
      <c r="M158" s="2">
        <v>35.588000000000001</v>
      </c>
      <c r="N158" s="2">
        <f t="shared" si="11"/>
        <v>3.2352727272727275</v>
      </c>
      <c r="O158" t="str">
        <f>TEXT(N158,"0.000")&amp;" ("&amp;(TEXT(G158,"0.000")&amp;")")</f>
        <v>3.235 (3.174)</v>
      </c>
    </row>
    <row r="159" spans="1:15" x14ac:dyDescent="0.35">
      <c r="A159">
        <v>35</v>
      </c>
      <c r="B159" t="s">
        <v>21</v>
      </c>
      <c r="C159" t="s">
        <v>22</v>
      </c>
      <c r="D159" s="2">
        <v>4.266</v>
      </c>
      <c r="E159" s="2">
        <f t="shared" si="8"/>
        <v>0.38781818181818184</v>
      </c>
      <c r="F159">
        <v>35.316000000000003</v>
      </c>
      <c r="G159" s="2">
        <f t="shared" si="9"/>
        <v>3.2105454545454548</v>
      </c>
      <c r="H159" t="s">
        <v>5</v>
      </c>
      <c r="I159" t="s">
        <v>31</v>
      </c>
      <c r="J159" t="str">
        <f t="shared" si="10"/>
        <v>C2/m    (12) (C2/m (12))</v>
      </c>
      <c r="K159">
        <v>6.7779999999999996</v>
      </c>
      <c r="L159" s="2">
        <f>K159/11</f>
        <v>0.61618181818181816</v>
      </c>
      <c r="M159" s="2">
        <v>35.588000000000001</v>
      </c>
      <c r="N159" s="2">
        <f t="shared" si="11"/>
        <v>3.2352727272727275</v>
      </c>
      <c r="O159" t="str">
        <f>TEXT(N159,"0.000")&amp;" ("&amp;(TEXT(G159,"0.000")&amp;")")</f>
        <v>3.235 (3.211)</v>
      </c>
    </row>
    <row r="160" spans="1:15" x14ac:dyDescent="0.35">
      <c r="A160">
        <v>196</v>
      </c>
      <c r="B160" t="s">
        <v>23</v>
      </c>
      <c r="C160" t="s">
        <v>22</v>
      </c>
      <c r="D160" s="2">
        <v>4.266</v>
      </c>
      <c r="E160" s="2">
        <f t="shared" si="8"/>
        <v>0.38781818181818184</v>
      </c>
      <c r="F160">
        <v>35.316000000000003</v>
      </c>
      <c r="G160" s="2">
        <f t="shared" si="9"/>
        <v>3.2105454545454548</v>
      </c>
      <c r="H160" t="s">
        <v>5</v>
      </c>
      <c r="I160" t="s">
        <v>31</v>
      </c>
      <c r="J160" t="str">
        <f t="shared" si="10"/>
        <v>C2/m    (12) (C2/m (12))</v>
      </c>
      <c r="K160">
        <v>6.7779999999999996</v>
      </c>
      <c r="L160" s="2">
        <f>K160/11</f>
        <v>0.61618181818181816</v>
      </c>
      <c r="M160" s="2">
        <v>35.588000000000001</v>
      </c>
      <c r="N160" s="2">
        <f t="shared" si="11"/>
        <v>3.2352727272727275</v>
      </c>
      <c r="O160" t="str">
        <f>TEXT(N160,"0.000")&amp;" ("&amp;(TEXT(G160,"0.000")&amp;")")</f>
        <v>3.235 (3.211)</v>
      </c>
    </row>
    <row r="161" spans="1:15" x14ac:dyDescent="0.35">
      <c r="A161">
        <v>136</v>
      </c>
      <c r="B161" t="s">
        <v>21</v>
      </c>
      <c r="C161" t="s">
        <v>22</v>
      </c>
      <c r="D161" s="2">
        <v>4.3319999999999999</v>
      </c>
      <c r="E161" s="2">
        <f t="shared" si="8"/>
        <v>0.39381818181818179</v>
      </c>
      <c r="F161">
        <v>34.807000000000002</v>
      </c>
      <c r="G161" s="2">
        <f t="shared" si="9"/>
        <v>3.1642727272727273</v>
      </c>
      <c r="H161" t="s">
        <v>36</v>
      </c>
      <c r="I161" t="s">
        <v>37</v>
      </c>
      <c r="J161" t="str">
        <f t="shared" si="10"/>
        <v>Amm2    (38) (Amm2 (38))</v>
      </c>
      <c r="K161">
        <v>6.7910000000000004</v>
      </c>
      <c r="L161" s="2">
        <f>K161/11</f>
        <v>0.61736363636363645</v>
      </c>
      <c r="M161" s="2">
        <v>35.25</v>
      </c>
      <c r="N161" s="2">
        <f t="shared" si="11"/>
        <v>3.2045454545454546</v>
      </c>
      <c r="O161" t="str">
        <f>TEXT(N161,"0.000")&amp;" ("&amp;(TEXT(G161,"0.000")&amp;")")</f>
        <v>3.205 (3.164)</v>
      </c>
    </row>
    <row r="162" spans="1:15" x14ac:dyDescent="0.35">
      <c r="A162">
        <v>1</v>
      </c>
      <c r="B162" t="s">
        <v>23</v>
      </c>
      <c r="C162" t="s">
        <v>22</v>
      </c>
      <c r="D162" s="2">
        <v>4.4580000000000002</v>
      </c>
      <c r="E162" s="2">
        <f t="shared" si="8"/>
        <v>0.40527272727272728</v>
      </c>
      <c r="F162">
        <v>34.654000000000003</v>
      </c>
      <c r="G162" s="2">
        <f t="shared" si="9"/>
        <v>3.1503636363636365</v>
      </c>
      <c r="H162" t="s">
        <v>38</v>
      </c>
      <c r="I162" t="s">
        <v>39</v>
      </c>
      <c r="J162" t="str">
        <f t="shared" si="10"/>
        <v>P2/m    (10) (P2/m (10))</v>
      </c>
      <c r="K162">
        <v>6.9290000000000003</v>
      </c>
      <c r="L162" s="2">
        <f>K162/11</f>
        <v>0.62990909090909097</v>
      </c>
      <c r="M162" s="2">
        <v>35.253999999999998</v>
      </c>
      <c r="N162" s="2">
        <f t="shared" si="11"/>
        <v>3.2049090909090907</v>
      </c>
      <c r="O162" t="str">
        <f>TEXT(N162,"0.000")&amp;" ("&amp;(TEXT(G162,"0.000")&amp;")")</f>
        <v>3.205 (3.150)</v>
      </c>
    </row>
    <row r="163" spans="1:15" x14ac:dyDescent="0.35">
      <c r="A163">
        <v>2</v>
      </c>
      <c r="B163" t="s">
        <v>23</v>
      </c>
      <c r="C163" t="s">
        <v>22</v>
      </c>
      <c r="D163" s="2">
        <v>4.5430000000000001</v>
      </c>
      <c r="E163" s="2">
        <f t="shared" si="8"/>
        <v>0.41300000000000003</v>
      </c>
      <c r="F163">
        <v>34.802</v>
      </c>
      <c r="G163" s="2">
        <f t="shared" si="9"/>
        <v>3.1638181818181819</v>
      </c>
      <c r="H163" t="s">
        <v>38</v>
      </c>
      <c r="I163" t="s">
        <v>39</v>
      </c>
      <c r="J163" t="str">
        <f t="shared" si="10"/>
        <v>P2/m    (10) (P2/m (10))</v>
      </c>
      <c r="K163">
        <v>6.9379999999999997</v>
      </c>
      <c r="L163" s="2">
        <f>K163/11</f>
        <v>0.63072727272727269</v>
      </c>
      <c r="M163" s="2">
        <v>35.223999999999997</v>
      </c>
      <c r="N163" s="2">
        <f t="shared" si="11"/>
        <v>3.2021818181818178</v>
      </c>
      <c r="O163" t="str">
        <f>TEXT(N163,"0.000")&amp;" ("&amp;(TEXT(G163,"0.000")&amp;")")</f>
        <v>3.202 (3.164)</v>
      </c>
    </row>
    <row r="164" spans="1:15" x14ac:dyDescent="0.35">
      <c r="A164">
        <v>39</v>
      </c>
      <c r="B164" t="s">
        <v>21</v>
      </c>
      <c r="C164" t="s">
        <v>22</v>
      </c>
      <c r="D164" s="2">
        <v>4.4859999999999998</v>
      </c>
      <c r="E164" s="2">
        <f t="shared" si="8"/>
        <v>0.4078181818181818</v>
      </c>
      <c r="F164">
        <v>35.042999999999999</v>
      </c>
      <c r="G164" s="2">
        <f t="shared" si="9"/>
        <v>3.1857272727272727</v>
      </c>
      <c r="H164" t="s">
        <v>5</v>
      </c>
      <c r="I164" t="s">
        <v>31</v>
      </c>
      <c r="J164" t="str">
        <f t="shared" si="10"/>
        <v>C2/m    (12) (C2/m (12))</v>
      </c>
      <c r="K164">
        <v>6.9509999999999996</v>
      </c>
      <c r="L164" s="2">
        <f>K164/11</f>
        <v>0.63190909090909086</v>
      </c>
      <c r="M164" s="2">
        <v>35.429000000000002</v>
      </c>
      <c r="N164" s="2">
        <f t="shared" si="11"/>
        <v>3.2208181818181818</v>
      </c>
      <c r="O164" t="str">
        <f>TEXT(N164,"0.000")&amp;" ("&amp;(TEXT(G164,"0.000")&amp;")")</f>
        <v>3.221 (3.186)</v>
      </c>
    </row>
    <row r="165" spans="1:15" x14ac:dyDescent="0.35">
      <c r="A165">
        <v>99</v>
      </c>
      <c r="B165" t="s">
        <v>23</v>
      </c>
      <c r="C165" t="s">
        <v>22</v>
      </c>
      <c r="D165" s="2">
        <v>4.5289999999999999</v>
      </c>
      <c r="E165" s="2">
        <f t="shared" si="8"/>
        <v>0.41172727272727272</v>
      </c>
      <c r="F165">
        <v>34.948</v>
      </c>
      <c r="G165" s="2">
        <f t="shared" si="9"/>
        <v>3.177090909090909</v>
      </c>
      <c r="H165" t="s">
        <v>36</v>
      </c>
      <c r="I165" t="s">
        <v>31</v>
      </c>
      <c r="J165" t="str">
        <f t="shared" si="10"/>
        <v>C2/m    (12) (Amm2 (38))</v>
      </c>
      <c r="K165">
        <v>6.9509999999999996</v>
      </c>
      <c r="L165" s="2">
        <f>K165/11</f>
        <v>0.63190909090909086</v>
      </c>
      <c r="M165" s="2">
        <v>35.429000000000002</v>
      </c>
      <c r="N165" s="2">
        <f t="shared" si="11"/>
        <v>3.2208181818181818</v>
      </c>
      <c r="O165" t="str">
        <f>TEXT(N165,"0.000")&amp;" ("&amp;(TEXT(G165,"0.000")&amp;")")</f>
        <v>3.221 (3.177)</v>
      </c>
    </row>
    <row r="166" spans="1:15" x14ac:dyDescent="0.35">
      <c r="A166">
        <v>100</v>
      </c>
      <c r="B166" t="s">
        <v>23</v>
      </c>
      <c r="C166" t="s">
        <v>22</v>
      </c>
      <c r="D166" s="2">
        <v>4.5289999999999999</v>
      </c>
      <c r="E166" s="2">
        <f t="shared" si="8"/>
        <v>0.41172727272727272</v>
      </c>
      <c r="F166">
        <v>34.948</v>
      </c>
      <c r="G166" s="2">
        <f t="shared" si="9"/>
        <v>3.177090909090909</v>
      </c>
      <c r="H166" t="s">
        <v>36</v>
      </c>
      <c r="I166" t="s">
        <v>31</v>
      </c>
      <c r="J166" t="str">
        <f t="shared" si="10"/>
        <v>C2/m    (12) (Amm2 (38))</v>
      </c>
      <c r="K166">
        <v>6.9509999999999996</v>
      </c>
      <c r="L166" s="2">
        <f>K166/11</f>
        <v>0.63190909090909086</v>
      </c>
      <c r="M166" s="2">
        <v>35.423000000000002</v>
      </c>
      <c r="N166" s="2">
        <f t="shared" si="11"/>
        <v>3.2202727272727274</v>
      </c>
      <c r="O166" t="str">
        <f>TEXT(N166,"0.000")&amp;" ("&amp;(TEXT(G166,"0.000")&amp;")")</f>
        <v>3.220 (3.177)</v>
      </c>
    </row>
    <row r="167" spans="1:15" x14ac:dyDescent="0.35">
      <c r="A167">
        <v>104</v>
      </c>
      <c r="B167" t="s">
        <v>23</v>
      </c>
      <c r="C167" t="s">
        <v>22</v>
      </c>
      <c r="D167" s="2">
        <v>4.4859999999999998</v>
      </c>
      <c r="E167" s="2">
        <f t="shared" si="8"/>
        <v>0.4078181818181818</v>
      </c>
      <c r="F167">
        <v>35.042999999999999</v>
      </c>
      <c r="G167" s="2">
        <f t="shared" si="9"/>
        <v>3.1857272727272727</v>
      </c>
      <c r="H167" t="s">
        <v>5</v>
      </c>
      <c r="I167" t="s">
        <v>31</v>
      </c>
      <c r="J167" t="str">
        <f t="shared" si="10"/>
        <v>C2/m    (12) (C2/m (12))</v>
      </c>
      <c r="K167">
        <v>6.9509999999999996</v>
      </c>
      <c r="L167" s="2">
        <f>K167/11</f>
        <v>0.63190909090909086</v>
      </c>
      <c r="M167" s="2">
        <v>35.429000000000002</v>
      </c>
      <c r="N167" s="2">
        <f t="shared" si="11"/>
        <v>3.2208181818181818</v>
      </c>
      <c r="O167" t="str">
        <f>TEXT(N167,"0.000")&amp;" ("&amp;(TEXT(G167,"0.000")&amp;")")</f>
        <v>3.221 (3.186)</v>
      </c>
    </row>
    <row r="168" spans="1:15" x14ac:dyDescent="0.35">
      <c r="A168">
        <v>114</v>
      </c>
      <c r="B168" t="s">
        <v>24</v>
      </c>
      <c r="C168" t="s">
        <v>22</v>
      </c>
      <c r="D168" s="2">
        <v>4.4859999999999998</v>
      </c>
      <c r="E168" s="2">
        <f t="shared" si="8"/>
        <v>0.4078181818181818</v>
      </c>
      <c r="F168">
        <v>35.042999999999999</v>
      </c>
      <c r="G168" s="2">
        <f t="shared" si="9"/>
        <v>3.1857272727272727</v>
      </c>
      <c r="H168" t="s">
        <v>5</v>
      </c>
      <c r="I168" t="s">
        <v>31</v>
      </c>
      <c r="J168" t="str">
        <f t="shared" si="10"/>
        <v>C2/m    (12) (C2/m (12))</v>
      </c>
      <c r="K168">
        <v>6.9509999999999996</v>
      </c>
      <c r="L168" s="2">
        <f>K168/11</f>
        <v>0.63190909090909086</v>
      </c>
      <c r="M168" s="2">
        <v>35.429000000000002</v>
      </c>
      <c r="N168" s="2">
        <f t="shared" si="11"/>
        <v>3.2208181818181818</v>
      </c>
      <c r="O168" t="str">
        <f>TEXT(N168,"0.000")&amp;" ("&amp;(TEXT(G168,"0.000")&amp;")")</f>
        <v>3.221 (3.186)</v>
      </c>
    </row>
    <row r="169" spans="1:15" x14ac:dyDescent="0.35">
      <c r="A169">
        <v>51</v>
      </c>
      <c r="B169" t="s">
        <v>24</v>
      </c>
      <c r="C169" t="s">
        <v>22</v>
      </c>
      <c r="D169" s="2">
        <v>4.4859999999999998</v>
      </c>
      <c r="E169" s="2">
        <f t="shared" si="8"/>
        <v>0.4078181818181818</v>
      </c>
      <c r="F169">
        <v>35.042000000000002</v>
      </c>
      <c r="G169" s="2">
        <f t="shared" si="9"/>
        <v>3.1856363636363638</v>
      </c>
      <c r="H169" t="s">
        <v>5</v>
      </c>
      <c r="I169" t="s">
        <v>31</v>
      </c>
      <c r="J169" t="str">
        <f t="shared" si="10"/>
        <v>C2/m    (12) (C2/m (12))</v>
      </c>
      <c r="K169">
        <v>6.952</v>
      </c>
      <c r="L169" s="2">
        <f>K169/11</f>
        <v>0.63200000000000001</v>
      </c>
      <c r="M169" s="2">
        <v>35.427999999999997</v>
      </c>
      <c r="N169" s="2">
        <f t="shared" si="11"/>
        <v>3.2207272727272724</v>
      </c>
      <c r="O169" t="str">
        <f>TEXT(N169,"0.000")&amp;" ("&amp;(TEXT(G169,"0.000")&amp;")")</f>
        <v>3.221 (3.186)</v>
      </c>
    </row>
    <row r="170" spans="1:15" x14ac:dyDescent="0.35">
      <c r="A170">
        <v>129</v>
      </c>
      <c r="B170" t="s">
        <v>24</v>
      </c>
      <c r="C170" t="s">
        <v>22</v>
      </c>
      <c r="D170" s="2">
        <v>4.4859999999999998</v>
      </c>
      <c r="E170" s="2">
        <f t="shared" si="8"/>
        <v>0.4078181818181818</v>
      </c>
      <c r="F170">
        <v>35.042999999999999</v>
      </c>
      <c r="G170" s="2">
        <f t="shared" si="9"/>
        <v>3.1857272727272727</v>
      </c>
      <c r="H170" t="s">
        <v>5</v>
      </c>
      <c r="I170" t="s">
        <v>31</v>
      </c>
      <c r="J170" t="str">
        <f t="shared" si="10"/>
        <v>C2/m    (12) (C2/m (12))</v>
      </c>
      <c r="K170">
        <v>6.952</v>
      </c>
      <c r="L170" s="2">
        <f>K170/11</f>
        <v>0.63200000000000001</v>
      </c>
      <c r="M170" s="2">
        <v>35.43</v>
      </c>
      <c r="N170" s="2">
        <f t="shared" si="11"/>
        <v>3.2209090909090907</v>
      </c>
      <c r="O170" t="str">
        <f>TEXT(N170,"0.000")&amp;" ("&amp;(TEXT(G170,"0.000")&amp;")")</f>
        <v>3.221 (3.186)</v>
      </c>
    </row>
    <row r="171" spans="1:15" x14ac:dyDescent="0.35">
      <c r="A171">
        <v>131</v>
      </c>
      <c r="B171" t="s">
        <v>24</v>
      </c>
      <c r="C171" t="s">
        <v>22</v>
      </c>
      <c r="D171" s="2">
        <v>4.4859999999999998</v>
      </c>
      <c r="E171" s="2">
        <f t="shared" si="8"/>
        <v>0.4078181818181818</v>
      </c>
      <c r="F171">
        <v>35.043999999999997</v>
      </c>
      <c r="G171" s="2">
        <f t="shared" si="9"/>
        <v>3.1858181818181817</v>
      </c>
      <c r="H171" t="s">
        <v>5</v>
      </c>
      <c r="I171" t="s">
        <v>31</v>
      </c>
      <c r="J171" t="str">
        <f t="shared" si="10"/>
        <v>C2/m    (12) (C2/m (12))</v>
      </c>
      <c r="K171">
        <v>6.952</v>
      </c>
      <c r="L171" s="2">
        <f>K171/11</f>
        <v>0.63200000000000001</v>
      </c>
      <c r="M171" s="2">
        <v>35.430999999999997</v>
      </c>
      <c r="N171" s="2">
        <f t="shared" si="11"/>
        <v>3.2209999999999996</v>
      </c>
      <c r="O171" t="str">
        <f>TEXT(N171,"0.000")&amp;" ("&amp;(TEXT(G171,"0.000")&amp;")")</f>
        <v>3.221 (3.186)</v>
      </c>
    </row>
    <row r="172" spans="1:15" x14ac:dyDescent="0.35">
      <c r="A172">
        <v>201</v>
      </c>
      <c r="B172" t="s">
        <v>24</v>
      </c>
      <c r="C172" t="s">
        <v>22</v>
      </c>
      <c r="D172" s="2">
        <v>4.4859999999999998</v>
      </c>
      <c r="E172" s="2">
        <f t="shared" si="8"/>
        <v>0.4078181818181818</v>
      </c>
      <c r="F172">
        <v>35.043999999999997</v>
      </c>
      <c r="G172" s="2">
        <f t="shared" si="9"/>
        <v>3.1858181818181817</v>
      </c>
      <c r="H172" t="s">
        <v>5</v>
      </c>
      <c r="I172" t="s">
        <v>31</v>
      </c>
      <c r="J172" t="str">
        <f t="shared" si="10"/>
        <v>C2/m    (12) (C2/m (12))</v>
      </c>
      <c r="K172">
        <v>6.952</v>
      </c>
      <c r="L172" s="2">
        <f>K172/11</f>
        <v>0.63200000000000001</v>
      </c>
      <c r="M172" s="2">
        <v>35.426000000000002</v>
      </c>
      <c r="N172" s="2">
        <f t="shared" si="11"/>
        <v>3.2205454545454546</v>
      </c>
      <c r="O172" t="str">
        <f>TEXT(N172,"0.000")&amp;" ("&amp;(TEXT(G172,"0.000")&amp;")")</f>
        <v>3.221 (3.186)</v>
      </c>
    </row>
    <row r="173" spans="1:15" x14ac:dyDescent="0.35">
      <c r="A173">
        <v>68</v>
      </c>
      <c r="B173" t="s">
        <v>23</v>
      </c>
      <c r="C173" t="s">
        <v>22</v>
      </c>
      <c r="D173" s="2">
        <v>5.085</v>
      </c>
      <c r="E173" s="2">
        <f t="shared" si="8"/>
        <v>0.46227272727272728</v>
      </c>
      <c r="F173">
        <v>35.149000000000001</v>
      </c>
      <c r="G173" s="2">
        <f t="shared" si="9"/>
        <v>3.1953636363636364</v>
      </c>
      <c r="H173" t="s">
        <v>29</v>
      </c>
      <c r="I173" t="s">
        <v>9</v>
      </c>
      <c r="J173" t="str">
        <f t="shared" si="10"/>
        <v>Cmmm    (65) (P6/mmm (191))</v>
      </c>
      <c r="K173" s="2">
        <v>7.02</v>
      </c>
      <c r="L173" s="2">
        <f>K173/11</f>
        <v>0.63818181818181818</v>
      </c>
      <c r="M173" s="2">
        <v>35.506</v>
      </c>
      <c r="N173" s="2">
        <f t="shared" si="11"/>
        <v>3.2278181818181819</v>
      </c>
      <c r="O173" t="str">
        <f>TEXT(N173,"0.000")&amp;" ("&amp;(TEXT(G173,"0.000")&amp;")")</f>
        <v>3.228 (3.195)</v>
      </c>
    </row>
    <row r="174" spans="1:15" x14ac:dyDescent="0.35">
      <c r="A174">
        <v>11</v>
      </c>
      <c r="B174" t="s">
        <v>23</v>
      </c>
      <c r="C174" t="s">
        <v>22</v>
      </c>
      <c r="D174" s="2">
        <v>4.7889999999999997</v>
      </c>
      <c r="E174" s="2">
        <f t="shared" si="8"/>
        <v>0.43536363636363634</v>
      </c>
      <c r="F174">
        <v>35.036000000000001</v>
      </c>
      <c r="G174" s="2">
        <f t="shared" si="9"/>
        <v>3.1850909090909094</v>
      </c>
      <c r="H174" t="s">
        <v>6</v>
      </c>
      <c r="I174" t="s">
        <v>40</v>
      </c>
      <c r="J174" t="str">
        <f t="shared" si="10"/>
        <v>C222    (21) (C2 (5))</v>
      </c>
      <c r="K174">
        <v>7.1639999999999997</v>
      </c>
      <c r="L174" s="2">
        <f>K174/11</f>
        <v>0.65127272727272723</v>
      </c>
      <c r="M174" s="2">
        <v>35.484999999999999</v>
      </c>
      <c r="N174" s="2">
        <f t="shared" si="11"/>
        <v>3.2259090909090911</v>
      </c>
      <c r="O174" t="str">
        <f>TEXT(N174,"0.000")&amp;" ("&amp;(TEXT(G174,"0.000")&amp;")")</f>
        <v>3.226 (3.185)</v>
      </c>
    </row>
    <row r="175" spans="1:15" x14ac:dyDescent="0.35">
      <c r="A175">
        <v>164</v>
      </c>
      <c r="B175" t="s">
        <v>24</v>
      </c>
      <c r="C175" t="s">
        <v>22</v>
      </c>
      <c r="D175" s="2">
        <v>5.1440000000000001</v>
      </c>
      <c r="E175" s="2">
        <f t="shared" si="8"/>
        <v>0.46763636363636363</v>
      </c>
      <c r="F175">
        <v>35.207000000000001</v>
      </c>
      <c r="G175" s="2">
        <f t="shared" si="9"/>
        <v>3.2006363636363635</v>
      </c>
      <c r="H175" t="s">
        <v>10</v>
      </c>
      <c r="I175" t="s">
        <v>41</v>
      </c>
      <c r="J175" t="str">
        <f t="shared" si="10"/>
        <v>P4/mmm  (123) (Cm (8))</v>
      </c>
      <c r="K175">
        <v>7.4669999999999996</v>
      </c>
      <c r="L175" s="2">
        <f>K175/11</f>
        <v>0.67881818181818177</v>
      </c>
      <c r="M175" s="2">
        <v>35.69</v>
      </c>
      <c r="N175" s="2">
        <f t="shared" si="11"/>
        <v>3.2445454545454542</v>
      </c>
      <c r="O175" t="str">
        <f>TEXT(N175,"0.000")&amp;" ("&amp;(TEXT(G175,"0.000")&amp;")")</f>
        <v>3.245 (3.201)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4BE-8BBC-45C1-ADA3-F2B21AE4C111}">
  <dimension ref="A1:E175"/>
  <sheetViews>
    <sheetView tabSelected="1" workbookViewId="0">
      <selection activeCell="I2" sqref="I2"/>
    </sheetView>
  </sheetViews>
  <sheetFormatPr defaultRowHeight="14.5" x14ac:dyDescent="0.35"/>
  <cols>
    <col min="1" max="1" width="3.81640625" bestFit="1" customWidth="1"/>
    <col min="2" max="2" width="11.6328125" customWidth="1"/>
    <col min="3" max="3" width="25.81640625" customWidth="1"/>
    <col min="4" max="4" width="13" customWidth="1"/>
    <col min="5" max="5" width="21.81640625" customWidth="1"/>
  </cols>
  <sheetData>
    <row r="1" spans="1:5" ht="116" x14ac:dyDescent="0.35">
      <c r="A1" s="1" t="s">
        <v>0</v>
      </c>
      <c r="B1" s="1" t="s">
        <v>42</v>
      </c>
      <c r="C1" s="1" t="s">
        <v>12</v>
      </c>
      <c r="D1" s="1" t="s">
        <v>45</v>
      </c>
      <c r="E1" s="1" t="s">
        <v>13</v>
      </c>
    </row>
    <row r="2" spans="1:5" x14ac:dyDescent="0.35">
      <c r="A2">
        <v>95</v>
      </c>
      <c r="B2" s="2">
        <v>0.33500000000000002</v>
      </c>
      <c r="C2" t="s">
        <v>47</v>
      </c>
      <c r="D2" s="2">
        <v>0.54918181818181822</v>
      </c>
      <c r="E2" t="s">
        <v>72</v>
      </c>
    </row>
    <row r="3" spans="1:5" x14ac:dyDescent="0.35">
      <c r="A3">
        <v>17</v>
      </c>
      <c r="B3" s="2">
        <v>0.33500000000000002</v>
      </c>
      <c r="C3" t="s">
        <v>47</v>
      </c>
      <c r="D3" s="2">
        <v>0.54927272727272725</v>
      </c>
      <c r="E3" t="s">
        <v>72</v>
      </c>
    </row>
    <row r="4" spans="1:5" x14ac:dyDescent="0.35">
      <c r="A4">
        <v>108</v>
      </c>
      <c r="B4" s="2">
        <v>0.33500000000000002</v>
      </c>
      <c r="C4" t="s">
        <v>48</v>
      </c>
      <c r="D4" s="2">
        <v>0.54927272727272725</v>
      </c>
      <c r="E4" t="s">
        <v>73</v>
      </c>
    </row>
    <row r="5" spans="1:5" x14ac:dyDescent="0.35">
      <c r="A5">
        <v>179</v>
      </c>
      <c r="B5" s="2">
        <v>0.33500000000000002</v>
      </c>
      <c r="C5" t="s">
        <v>48</v>
      </c>
      <c r="D5" s="2">
        <v>0.54927272727272725</v>
      </c>
      <c r="E5" t="s">
        <v>73</v>
      </c>
    </row>
    <row r="6" spans="1:5" x14ac:dyDescent="0.35">
      <c r="A6">
        <v>182</v>
      </c>
      <c r="B6" s="2">
        <v>0.33500000000000002</v>
      </c>
      <c r="C6" t="s">
        <v>47</v>
      </c>
      <c r="D6" s="2">
        <v>0.54927272727272725</v>
      </c>
      <c r="E6" t="s">
        <v>72</v>
      </c>
    </row>
    <row r="7" spans="1:5" x14ac:dyDescent="0.35">
      <c r="A7">
        <v>58</v>
      </c>
      <c r="B7" s="2">
        <v>0.33500000000000002</v>
      </c>
      <c r="C7" t="s">
        <v>47</v>
      </c>
      <c r="D7" s="2">
        <v>0.54936363636363639</v>
      </c>
      <c r="E7" t="s">
        <v>72</v>
      </c>
    </row>
    <row r="8" spans="1:5" x14ac:dyDescent="0.35">
      <c r="A8">
        <v>70</v>
      </c>
      <c r="B8" s="2">
        <v>0.33500000000000002</v>
      </c>
      <c r="C8" t="s">
        <v>49</v>
      </c>
      <c r="D8" s="2">
        <v>0.54936363636363639</v>
      </c>
      <c r="E8" t="s">
        <v>73</v>
      </c>
    </row>
    <row r="9" spans="1:5" x14ac:dyDescent="0.35">
      <c r="A9">
        <v>93</v>
      </c>
      <c r="B9" s="2">
        <v>0.33500000000000002</v>
      </c>
      <c r="C9" t="s">
        <v>47</v>
      </c>
      <c r="D9" s="2">
        <v>0.54936363636363639</v>
      </c>
      <c r="E9" t="s">
        <v>72</v>
      </c>
    </row>
    <row r="10" spans="1:5" x14ac:dyDescent="0.35">
      <c r="A10">
        <v>98</v>
      </c>
      <c r="B10" s="2">
        <v>0.33500000000000002</v>
      </c>
      <c r="C10" t="s">
        <v>48</v>
      </c>
      <c r="D10" s="2">
        <v>0.54936363636363639</v>
      </c>
      <c r="E10" t="s">
        <v>73</v>
      </c>
    </row>
    <row r="11" spans="1:5" x14ac:dyDescent="0.35">
      <c r="A11">
        <v>153</v>
      </c>
      <c r="B11" s="2">
        <v>0.33500000000000002</v>
      </c>
      <c r="C11" t="s">
        <v>48</v>
      </c>
      <c r="D11" s="2">
        <v>0.54936363636363639</v>
      </c>
      <c r="E11" t="s">
        <v>73</v>
      </c>
    </row>
    <row r="12" spans="1:5" x14ac:dyDescent="0.35">
      <c r="A12">
        <v>157</v>
      </c>
      <c r="B12" s="2">
        <v>0.33500000000000002</v>
      </c>
      <c r="C12" t="s">
        <v>48</v>
      </c>
      <c r="D12" s="2">
        <v>0.54936363636363639</v>
      </c>
      <c r="E12" t="s">
        <v>73</v>
      </c>
    </row>
    <row r="13" spans="1:5" x14ac:dyDescent="0.35">
      <c r="A13">
        <v>194</v>
      </c>
      <c r="B13" s="2">
        <v>0.33500000000000002</v>
      </c>
      <c r="C13" t="s">
        <v>47</v>
      </c>
      <c r="D13" s="2">
        <v>0.54936363636363639</v>
      </c>
      <c r="E13" t="s">
        <v>72</v>
      </c>
    </row>
    <row r="14" spans="1:5" x14ac:dyDescent="0.35">
      <c r="A14">
        <v>16</v>
      </c>
      <c r="B14" s="2">
        <v>0.33500000000000002</v>
      </c>
      <c r="C14" t="s">
        <v>47</v>
      </c>
      <c r="D14" s="2">
        <v>0.54945454545454542</v>
      </c>
      <c r="E14" t="s">
        <v>72</v>
      </c>
    </row>
    <row r="15" spans="1:5" x14ac:dyDescent="0.35">
      <c r="A15">
        <v>26</v>
      </c>
      <c r="B15" s="2">
        <v>0.33500000000000002</v>
      </c>
      <c r="C15" t="s">
        <v>48</v>
      </c>
      <c r="D15" s="2">
        <v>0.54945454545454542</v>
      </c>
      <c r="E15" t="s">
        <v>73</v>
      </c>
    </row>
    <row r="16" spans="1:5" x14ac:dyDescent="0.35">
      <c r="A16">
        <v>59</v>
      </c>
      <c r="B16" s="2">
        <v>0.33500000000000002</v>
      </c>
      <c r="C16" t="s">
        <v>47</v>
      </c>
      <c r="D16" s="2">
        <v>0.54945454545454542</v>
      </c>
      <c r="E16" t="s">
        <v>72</v>
      </c>
    </row>
    <row r="17" spans="1:5" x14ac:dyDescent="0.35">
      <c r="A17">
        <v>66</v>
      </c>
      <c r="B17" s="2">
        <v>0.33500000000000002</v>
      </c>
      <c r="C17" t="s">
        <v>47</v>
      </c>
      <c r="D17" s="2">
        <v>0.54945454545454542</v>
      </c>
      <c r="E17" t="s">
        <v>72</v>
      </c>
    </row>
    <row r="18" spans="1:5" x14ac:dyDescent="0.35">
      <c r="A18">
        <v>71</v>
      </c>
      <c r="B18" s="2">
        <v>0.33500000000000002</v>
      </c>
      <c r="C18" t="s">
        <v>48</v>
      </c>
      <c r="D18" s="2">
        <v>0.54945454545454542</v>
      </c>
      <c r="E18" t="s">
        <v>73</v>
      </c>
    </row>
    <row r="19" spans="1:5" x14ac:dyDescent="0.35">
      <c r="A19">
        <v>72</v>
      </c>
      <c r="B19" s="2">
        <v>0.33500000000000002</v>
      </c>
      <c r="C19" t="s">
        <v>47</v>
      </c>
      <c r="D19" s="2">
        <v>0.54945454545454542</v>
      </c>
      <c r="E19" t="s">
        <v>72</v>
      </c>
    </row>
    <row r="20" spans="1:5" x14ac:dyDescent="0.35">
      <c r="A20">
        <v>82</v>
      </c>
      <c r="B20" s="2">
        <v>0.37881818181818178</v>
      </c>
      <c r="C20" t="s">
        <v>50</v>
      </c>
      <c r="D20" s="2">
        <v>0.54945454545454542</v>
      </c>
      <c r="E20" t="s">
        <v>74</v>
      </c>
    </row>
    <row r="21" spans="1:5" x14ac:dyDescent="0.35">
      <c r="A21">
        <v>112</v>
      </c>
      <c r="B21" s="2">
        <v>0.33500000000000002</v>
      </c>
      <c r="C21" t="s">
        <v>47</v>
      </c>
      <c r="D21" s="2">
        <v>0.54945454545454542</v>
      </c>
      <c r="E21" t="s">
        <v>72</v>
      </c>
    </row>
    <row r="22" spans="1:5" x14ac:dyDescent="0.35">
      <c r="A22">
        <v>113</v>
      </c>
      <c r="B22" s="2">
        <v>0.33500000000000002</v>
      </c>
      <c r="C22" t="s">
        <v>47</v>
      </c>
      <c r="D22" s="2">
        <v>0.54945454545454542</v>
      </c>
      <c r="E22" t="s">
        <v>72</v>
      </c>
    </row>
    <row r="23" spans="1:5" x14ac:dyDescent="0.35">
      <c r="A23">
        <v>130</v>
      </c>
      <c r="B23" s="2">
        <v>0.33500000000000002</v>
      </c>
      <c r="C23" t="s">
        <v>48</v>
      </c>
      <c r="D23" s="2">
        <v>0.54945454545454542</v>
      </c>
      <c r="E23" t="s">
        <v>73</v>
      </c>
    </row>
    <row r="24" spans="1:5" x14ac:dyDescent="0.35">
      <c r="A24">
        <v>137</v>
      </c>
      <c r="B24" s="2">
        <v>0.33500000000000002</v>
      </c>
      <c r="C24" t="s">
        <v>47</v>
      </c>
      <c r="D24" s="2">
        <v>0.54945454545454542</v>
      </c>
      <c r="E24" t="s">
        <v>72</v>
      </c>
    </row>
    <row r="25" spans="1:5" x14ac:dyDescent="0.35">
      <c r="A25">
        <v>147</v>
      </c>
      <c r="B25" s="2">
        <v>0.33500000000000002</v>
      </c>
      <c r="C25" t="s">
        <v>48</v>
      </c>
      <c r="D25" s="2">
        <v>0.54945454545454542</v>
      </c>
      <c r="E25" t="s">
        <v>73</v>
      </c>
    </row>
    <row r="26" spans="1:5" x14ac:dyDescent="0.35">
      <c r="A26">
        <v>151</v>
      </c>
      <c r="B26" s="2">
        <v>0.33500000000000002</v>
      </c>
      <c r="C26" t="s">
        <v>48</v>
      </c>
      <c r="D26" s="2">
        <v>0.54945454545454542</v>
      </c>
      <c r="E26" t="s">
        <v>73</v>
      </c>
    </row>
    <row r="27" spans="1:5" x14ac:dyDescent="0.35">
      <c r="A27">
        <v>183</v>
      </c>
      <c r="B27" s="2">
        <v>0.33500000000000002</v>
      </c>
      <c r="C27" t="s">
        <v>47</v>
      </c>
      <c r="D27" s="2">
        <v>0.54945454545454542</v>
      </c>
      <c r="E27" t="s">
        <v>72</v>
      </c>
    </row>
    <row r="28" spans="1:5" x14ac:dyDescent="0.35">
      <c r="A28">
        <v>187</v>
      </c>
      <c r="B28" s="2">
        <v>0.33500000000000002</v>
      </c>
      <c r="C28" t="s">
        <v>47</v>
      </c>
      <c r="D28" s="2">
        <v>0.54945454545454542</v>
      </c>
      <c r="E28" t="s">
        <v>72</v>
      </c>
    </row>
    <row r="29" spans="1:5" x14ac:dyDescent="0.35">
      <c r="A29">
        <v>188</v>
      </c>
      <c r="B29" s="2">
        <v>0.33500000000000002</v>
      </c>
      <c r="C29" t="s">
        <v>47</v>
      </c>
      <c r="D29" s="2">
        <v>0.54945454545454542</v>
      </c>
      <c r="E29" t="s">
        <v>72</v>
      </c>
    </row>
    <row r="30" spans="1:5" x14ac:dyDescent="0.35">
      <c r="A30">
        <v>208</v>
      </c>
      <c r="B30" s="2">
        <v>0.37881818181818178</v>
      </c>
      <c r="C30" t="s">
        <v>50</v>
      </c>
      <c r="D30" s="2">
        <v>0.54945454545454542</v>
      </c>
      <c r="E30" t="s">
        <v>74</v>
      </c>
    </row>
    <row r="31" spans="1:5" x14ac:dyDescent="0.35">
      <c r="A31">
        <v>212</v>
      </c>
      <c r="B31" s="2">
        <v>0.33500000000000002</v>
      </c>
      <c r="C31" t="s">
        <v>48</v>
      </c>
      <c r="D31" s="2">
        <v>0.54945454545454542</v>
      </c>
      <c r="E31" t="s">
        <v>73</v>
      </c>
    </row>
    <row r="32" spans="1:5" x14ac:dyDescent="0.35">
      <c r="A32">
        <v>10</v>
      </c>
      <c r="B32" s="2">
        <v>0.46863636363636368</v>
      </c>
      <c r="C32" t="s">
        <v>51</v>
      </c>
      <c r="D32" s="2">
        <v>0.54954545454545456</v>
      </c>
      <c r="E32" t="s">
        <v>75</v>
      </c>
    </row>
    <row r="33" spans="1:5" x14ac:dyDescent="0.35">
      <c r="A33">
        <v>13</v>
      </c>
      <c r="B33" s="2">
        <v>0.33500000000000002</v>
      </c>
      <c r="C33" t="s">
        <v>48</v>
      </c>
      <c r="D33" s="2">
        <v>0.54954545454545456</v>
      </c>
      <c r="E33" t="s">
        <v>73</v>
      </c>
    </row>
    <row r="34" spans="1:5" x14ac:dyDescent="0.35">
      <c r="A34">
        <v>22</v>
      </c>
      <c r="B34" s="2">
        <v>0.44981818181818184</v>
      </c>
      <c r="C34" t="s">
        <v>52</v>
      </c>
      <c r="D34" s="2">
        <v>0.54954545454545456</v>
      </c>
      <c r="E34" t="s">
        <v>76</v>
      </c>
    </row>
    <row r="35" spans="1:5" x14ac:dyDescent="0.35">
      <c r="A35">
        <v>73</v>
      </c>
      <c r="B35" s="2">
        <v>0.33500000000000002</v>
      </c>
      <c r="C35" t="s">
        <v>47</v>
      </c>
      <c r="D35" s="2">
        <v>0.54954545454545456</v>
      </c>
      <c r="E35" t="s">
        <v>72</v>
      </c>
    </row>
    <row r="36" spans="1:5" x14ac:dyDescent="0.35">
      <c r="A36">
        <v>81</v>
      </c>
      <c r="B36" s="2">
        <v>0.33500000000000002</v>
      </c>
      <c r="C36" t="s">
        <v>48</v>
      </c>
      <c r="D36" s="2">
        <v>0.54954545454545456</v>
      </c>
      <c r="E36" t="s">
        <v>73</v>
      </c>
    </row>
    <row r="37" spans="1:5" x14ac:dyDescent="0.35">
      <c r="A37">
        <v>107</v>
      </c>
      <c r="B37" s="2">
        <v>0.33500000000000002</v>
      </c>
      <c r="C37" t="s">
        <v>48</v>
      </c>
      <c r="D37" s="2">
        <v>0.54954545454545456</v>
      </c>
      <c r="E37" t="s">
        <v>73</v>
      </c>
    </row>
    <row r="38" spans="1:5" x14ac:dyDescent="0.35">
      <c r="A38">
        <v>116</v>
      </c>
      <c r="B38" s="2">
        <v>0.33500000000000002</v>
      </c>
      <c r="C38" t="s">
        <v>47</v>
      </c>
      <c r="D38" s="2">
        <v>0.54954545454545456</v>
      </c>
      <c r="E38" t="s">
        <v>72</v>
      </c>
    </row>
    <row r="39" spans="1:5" x14ac:dyDescent="0.35">
      <c r="A39">
        <v>118</v>
      </c>
      <c r="B39" s="2">
        <v>0.37881818181818178</v>
      </c>
      <c r="C39" t="s">
        <v>50</v>
      </c>
      <c r="D39" s="2">
        <v>0.54954545454545456</v>
      </c>
      <c r="E39" t="s">
        <v>74</v>
      </c>
    </row>
    <row r="40" spans="1:5" x14ac:dyDescent="0.35">
      <c r="A40">
        <v>140</v>
      </c>
      <c r="B40" s="2">
        <v>0.37881818181818178</v>
      </c>
      <c r="C40" t="s">
        <v>50</v>
      </c>
      <c r="D40" s="2">
        <v>0.54954545454545456</v>
      </c>
      <c r="E40" t="s">
        <v>74</v>
      </c>
    </row>
    <row r="41" spans="1:5" x14ac:dyDescent="0.35">
      <c r="A41">
        <v>150</v>
      </c>
      <c r="B41" s="2">
        <v>0.33500000000000002</v>
      </c>
      <c r="C41" t="s">
        <v>48</v>
      </c>
      <c r="D41" s="2">
        <v>0.54954545454545456</v>
      </c>
      <c r="E41" t="s">
        <v>73</v>
      </c>
    </row>
    <row r="42" spans="1:5" x14ac:dyDescent="0.35">
      <c r="A42">
        <v>154</v>
      </c>
      <c r="B42" s="2">
        <v>0.33500000000000002</v>
      </c>
      <c r="C42" t="s">
        <v>47</v>
      </c>
      <c r="D42" s="2">
        <v>0.54954545454545456</v>
      </c>
      <c r="E42" t="s">
        <v>72</v>
      </c>
    </row>
    <row r="43" spans="1:5" x14ac:dyDescent="0.35">
      <c r="A43">
        <v>169</v>
      </c>
      <c r="B43" s="2">
        <v>0.33500000000000002</v>
      </c>
      <c r="C43" t="s">
        <v>47</v>
      </c>
      <c r="D43" s="2">
        <v>0.54954545454545456</v>
      </c>
      <c r="E43" t="s">
        <v>72</v>
      </c>
    </row>
    <row r="44" spans="1:5" x14ac:dyDescent="0.35">
      <c r="A44">
        <v>170</v>
      </c>
      <c r="B44" s="2">
        <v>0.33500000000000002</v>
      </c>
      <c r="C44" t="s">
        <v>48</v>
      </c>
      <c r="D44" s="2">
        <v>0.54954545454545456</v>
      </c>
      <c r="E44" t="s">
        <v>73</v>
      </c>
    </row>
    <row r="45" spans="1:5" x14ac:dyDescent="0.35">
      <c r="A45">
        <v>171</v>
      </c>
      <c r="B45" s="2">
        <v>0.33500000000000002</v>
      </c>
      <c r="C45" t="s">
        <v>47</v>
      </c>
      <c r="D45" s="2">
        <v>0.54954545454545456</v>
      </c>
      <c r="E45" t="s">
        <v>72</v>
      </c>
    </row>
    <row r="46" spans="1:5" x14ac:dyDescent="0.35">
      <c r="A46">
        <v>181</v>
      </c>
      <c r="B46" s="2">
        <v>0.33500000000000002</v>
      </c>
      <c r="C46" t="s">
        <v>48</v>
      </c>
      <c r="D46" s="2">
        <v>0.54954545454545456</v>
      </c>
      <c r="E46" t="s">
        <v>73</v>
      </c>
    </row>
    <row r="47" spans="1:5" x14ac:dyDescent="0.35">
      <c r="A47">
        <v>87</v>
      </c>
      <c r="B47" s="2">
        <v>0.33500000000000002</v>
      </c>
      <c r="C47" t="s">
        <v>48</v>
      </c>
      <c r="D47" s="2">
        <v>0.5496363636363637</v>
      </c>
      <c r="E47" t="s">
        <v>73</v>
      </c>
    </row>
    <row r="48" spans="1:5" x14ac:dyDescent="0.35">
      <c r="A48">
        <v>180</v>
      </c>
      <c r="B48" s="2">
        <v>0.33500000000000002</v>
      </c>
      <c r="C48" t="s">
        <v>48</v>
      </c>
      <c r="D48" s="2">
        <v>0.5496363636363637</v>
      </c>
      <c r="E48" t="s">
        <v>73</v>
      </c>
    </row>
    <row r="49" spans="1:5" x14ac:dyDescent="0.35">
      <c r="A49">
        <v>19</v>
      </c>
      <c r="B49" s="2">
        <v>0.80309090909090908</v>
      </c>
      <c r="C49" t="s">
        <v>53</v>
      </c>
      <c r="D49" s="2">
        <v>0.57472727272727275</v>
      </c>
      <c r="E49" t="s">
        <v>77</v>
      </c>
    </row>
    <row r="50" spans="1:5" x14ac:dyDescent="0.35">
      <c r="A50">
        <v>4</v>
      </c>
      <c r="B50" s="2">
        <v>0.80309090909090908</v>
      </c>
      <c r="C50" t="s">
        <v>53</v>
      </c>
      <c r="D50" s="2">
        <v>0.57481818181818189</v>
      </c>
      <c r="E50" t="s">
        <v>77</v>
      </c>
    </row>
    <row r="51" spans="1:5" x14ac:dyDescent="0.35">
      <c r="A51">
        <v>121</v>
      </c>
      <c r="B51" s="2">
        <v>0.33718181818181819</v>
      </c>
      <c r="C51" t="s">
        <v>54</v>
      </c>
      <c r="D51" s="2">
        <v>0.57490909090909093</v>
      </c>
      <c r="E51" t="s">
        <v>78</v>
      </c>
    </row>
    <row r="52" spans="1:5" x14ac:dyDescent="0.35">
      <c r="A52">
        <v>146</v>
      </c>
      <c r="B52" s="2">
        <v>0.33718181818181819</v>
      </c>
      <c r="C52" t="s">
        <v>54</v>
      </c>
      <c r="D52" s="2">
        <v>0.57490909090909093</v>
      </c>
      <c r="E52" t="s">
        <v>78</v>
      </c>
    </row>
    <row r="53" spans="1:5" x14ac:dyDescent="0.35">
      <c r="A53">
        <v>202</v>
      </c>
      <c r="B53" s="2">
        <v>0.33718181818181819</v>
      </c>
      <c r="C53" t="s">
        <v>54</v>
      </c>
      <c r="D53" s="2">
        <v>0.57490909090909093</v>
      </c>
      <c r="E53" t="s">
        <v>78</v>
      </c>
    </row>
    <row r="54" spans="1:5" x14ac:dyDescent="0.35">
      <c r="A54">
        <v>40</v>
      </c>
      <c r="B54" s="2">
        <v>0.33718181818181819</v>
      </c>
      <c r="C54" t="s">
        <v>54</v>
      </c>
      <c r="D54" s="2">
        <v>0.57500000000000007</v>
      </c>
      <c r="E54" t="s">
        <v>79</v>
      </c>
    </row>
    <row r="55" spans="1:5" x14ac:dyDescent="0.35">
      <c r="A55">
        <v>57</v>
      </c>
      <c r="B55" s="2">
        <v>0.33718181818181819</v>
      </c>
      <c r="C55" t="s">
        <v>54</v>
      </c>
      <c r="D55" s="2">
        <v>0.57500000000000007</v>
      </c>
      <c r="E55" t="s">
        <v>78</v>
      </c>
    </row>
    <row r="56" spans="1:5" x14ac:dyDescent="0.35">
      <c r="A56">
        <v>101</v>
      </c>
      <c r="B56" s="2">
        <v>0.41609090909090907</v>
      </c>
      <c r="C56" t="s">
        <v>54</v>
      </c>
      <c r="D56" s="2">
        <v>0.57500000000000007</v>
      </c>
      <c r="E56" t="s">
        <v>78</v>
      </c>
    </row>
    <row r="57" spans="1:5" x14ac:dyDescent="0.35">
      <c r="A57">
        <v>105</v>
      </c>
      <c r="B57" s="2">
        <v>0.46690909090909094</v>
      </c>
      <c r="C57" t="s">
        <v>55</v>
      </c>
      <c r="D57" s="2">
        <v>0.57500000000000007</v>
      </c>
      <c r="E57" t="s">
        <v>80</v>
      </c>
    </row>
    <row r="58" spans="1:5" x14ac:dyDescent="0.35">
      <c r="A58">
        <v>110</v>
      </c>
      <c r="B58" s="2">
        <v>0.51118181818181818</v>
      </c>
      <c r="C58" t="s">
        <v>53</v>
      </c>
      <c r="D58" s="2">
        <v>0.57500000000000007</v>
      </c>
      <c r="E58" t="s">
        <v>81</v>
      </c>
    </row>
    <row r="59" spans="1:5" x14ac:dyDescent="0.35">
      <c r="A59">
        <v>124</v>
      </c>
      <c r="B59" s="2">
        <v>0.33718181818181819</v>
      </c>
      <c r="C59" t="s">
        <v>54</v>
      </c>
      <c r="D59" s="2">
        <v>0.57500000000000007</v>
      </c>
      <c r="E59" t="s">
        <v>78</v>
      </c>
    </row>
    <row r="60" spans="1:5" x14ac:dyDescent="0.35">
      <c r="A60">
        <v>159</v>
      </c>
      <c r="B60" s="2">
        <v>0.33718181818181819</v>
      </c>
      <c r="C60" t="s">
        <v>54</v>
      </c>
      <c r="D60" s="2">
        <v>0.57500000000000007</v>
      </c>
      <c r="E60" t="s">
        <v>78</v>
      </c>
    </row>
    <row r="61" spans="1:5" x14ac:dyDescent="0.35">
      <c r="A61">
        <v>172</v>
      </c>
      <c r="B61" s="2">
        <v>0.33718181818181819</v>
      </c>
      <c r="C61" t="s">
        <v>54</v>
      </c>
      <c r="D61" s="2">
        <v>0.57500000000000007</v>
      </c>
      <c r="E61" t="s">
        <v>78</v>
      </c>
    </row>
    <row r="62" spans="1:5" x14ac:dyDescent="0.35">
      <c r="A62">
        <v>207</v>
      </c>
      <c r="B62" s="2">
        <v>0.33718181818181819</v>
      </c>
      <c r="C62" t="s">
        <v>54</v>
      </c>
      <c r="D62" s="2">
        <v>0.57500000000000007</v>
      </c>
      <c r="E62" t="s">
        <v>78</v>
      </c>
    </row>
    <row r="63" spans="1:5" x14ac:dyDescent="0.35">
      <c r="A63">
        <v>211</v>
      </c>
      <c r="B63" s="2">
        <v>0.33718181818181819</v>
      </c>
      <c r="C63" t="s">
        <v>54</v>
      </c>
      <c r="D63" s="2">
        <v>0.57500000000000007</v>
      </c>
      <c r="E63" t="s">
        <v>78</v>
      </c>
    </row>
    <row r="64" spans="1:5" x14ac:dyDescent="0.35">
      <c r="A64">
        <v>0</v>
      </c>
      <c r="B64" s="2">
        <v>0.33718181818181819</v>
      </c>
      <c r="C64" t="s">
        <v>54</v>
      </c>
      <c r="D64" s="2">
        <v>0.5750909090909091</v>
      </c>
      <c r="E64" t="s">
        <v>78</v>
      </c>
    </row>
    <row r="65" spans="1:5" x14ac:dyDescent="0.35">
      <c r="A65">
        <v>5</v>
      </c>
      <c r="B65" s="2">
        <v>0.33718181818181819</v>
      </c>
      <c r="C65" t="s">
        <v>54</v>
      </c>
      <c r="D65" s="2">
        <v>0.5750909090909091</v>
      </c>
      <c r="E65" t="s">
        <v>78</v>
      </c>
    </row>
    <row r="66" spans="1:5" x14ac:dyDescent="0.35">
      <c r="A66">
        <v>24</v>
      </c>
      <c r="B66" s="2">
        <v>0.44636363636363635</v>
      </c>
      <c r="C66" t="s">
        <v>56</v>
      </c>
      <c r="D66" s="2">
        <v>0.5750909090909091</v>
      </c>
      <c r="E66" t="s">
        <v>82</v>
      </c>
    </row>
    <row r="67" spans="1:5" x14ac:dyDescent="0.35">
      <c r="A67">
        <v>28</v>
      </c>
      <c r="B67" s="2">
        <v>0.33718181818181819</v>
      </c>
      <c r="C67" t="s">
        <v>54</v>
      </c>
      <c r="D67" s="2">
        <v>0.5750909090909091</v>
      </c>
      <c r="E67" t="s">
        <v>78</v>
      </c>
    </row>
    <row r="68" spans="1:5" x14ac:dyDescent="0.35">
      <c r="A68">
        <v>36</v>
      </c>
      <c r="B68" s="2">
        <v>0.33718181818181819</v>
      </c>
      <c r="C68" t="s">
        <v>54</v>
      </c>
      <c r="D68" s="2">
        <v>0.5750909090909091</v>
      </c>
      <c r="E68" t="s">
        <v>78</v>
      </c>
    </row>
    <row r="69" spans="1:5" x14ac:dyDescent="0.35">
      <c r="A69">
        <v>41</v>
      </c>
      <c r="B69" s="2">
        <v>0.33718181818181819</v>
      </c>
      <c r="C69" t="s">
        <v>54</v>
      </c>
      <c r="D69" s="2">
        <v>0.5750909090909091</v>
      </c>
      <c r="E69" t="s">
        <v>78</v>
      </c>
    </row>
    <row r="70" spans="1:5" x14ac:dyDescent="0.35">
      <c r="A70">
        <v>53</v>
      </c>
      <c r="B70" s="2">
        <v>0.33718181818181819</v>
      </c>
      <c r="C70" t="s">
        <v>54</v>
      </c>
      <c r="D70" s="2">
        <v>0.5750909090909091</v>
      </c>
      <c r="E70" t="s">
        <v>78</v>
      </c>
    </row>
    <row r="71" spans="1:5" x14ac:dyDescent="0.35">
      <c r="A71">
        <v>74</v>
      </c>
      <c r="B71" s="2">
        <v>0.33718181818181819</v>
      </c>
      <c r="C71" t="s">
        <v>54</v>
      </c>
      <c r="D71" s="2">
        <v>0.5750909090909091</v>
      </c>
      <c r="E71" t="s">
        <v>79</v>
      </c>
    </row>
    <row r="72" spans="1:5" x14ac:dyDescent="0.35">
      <c r="A72">
        <v>79</v>
      </c>
      <c r="B72" s="2">
        <v>0.33718181818181819</v>
      </c>
      <c r="C72" t="s">
        <v>54</v>
      </c>
      <c r="D72" s="2">
        <v>0.5750909090909091</v>
      </c>
      <c r="E72" t="s">
        <v>78</v>
      </c>
    </row>
    <row r="73" spans="1:5" x14ac:dyDescent="0.35">
      <c r="A73">
        <v>83</v>
      </c>
      <c r="B73" s="2">
        <v>0.33718181818181819</v>
      </c>
      <c r="C73" t="s">
        <v>54</v>
      </c>
      <c r="D73" s="2">
        <v>0.5750909090909091</v>
      </c>
      <c r="E73" t="s">
        <v>78</v>
      </c>
    </row>
    <row r="74" spans="1:5" x14ac:dyDescent="0.35">
      <c r="A74">
        <v>92</v>
      </c>
      <c r="B74" s="2">
        <v>0.33718181818181819</v>
      </c>
      <c r="C74" t="s">
        <v>54</v>
      </c>
      <c r="D74" s="2">
        <v>0.5750909090909091</v>
      </c>
      <c r="E74" t="s">
        <v>78</v>
      </c>
    </row>
    <row r="75" spans="1:5" x14ac:dyDescent="0.35">
      <c r="A75">
        <v>106</v>
      </c>
      <c r="B75" s="2">
        <v>0.62436363636363634</v>
      </c>
      <c r="C75" t="s">
        <v>53</v>
      </c>
      <c r="D75" s="2">
        <v>0.5750909090909091</v>
      </c>
      <c r="E75" t="s">
        <v>83</v>
      </c>
    </row>
    <row r="76" spans="1:5" x14ac:dyDescent="0.35">
      <c r="A76">
        <v>117</v>
      </c>
      <c r="B76" s="2">
        <v>0.46290909090909088</v>
      </c>
      <c r="C76" t="s">
        <v>57</v>
      </c>
      <c r="D76" s="2">
        <v>0.5750909090909091</v>
      </c>
      <c r="E76" t="s">
        <v>84</v>
      </c>
    </row>
    <row r="77" spans="1:5" x14ac:dyDescent="0.35">
      <c r="A77">
        <v>134</v>
      </c>
      <c r="B77" s="2">
        <v>0.33718181818181819</v>
      </c>
      <c r="C77" t="s">
        <v>54</v>
      </c>
      <c r="D77" s="2">
        <v>0.5750909090909091</v>
      </c>
      <c r="E77" t="s">
        <v>78</v>
      </c>
    </row>
    <row r="78" spans="1:5" x14ac:dyDescent="0.35">
      <c r="A78">
        <v>138</v>
      </c>
      <c r="B78" s="2">
        <v>0.33718181818181819</v>
      </c>
      <c r="C78" t="s">
        <v>54</v>
      </c>
      <c r="D78" s="2">
        <v>0.5750909090909091</v>
      </c>
      <c r="E78" t="s">
        <v>78</v>
      </c>
    </row>
    <row r="79" spans="1:5" x14ac:dyDescent="0.35">
      <c r="A79">
        <v>142</v>
      </c>
      <c r="B79" s="2">
        <v>0.33718181818181819</v>
      </c>
      <c r="C79" t="s">
        <v>54</v>
      </c>
      <c r="D79" s="2">
        <v>0.5750909090909091</v>
      </c>
      <c r="E79" t="s">
        <v>78</v>
      </c>
    </row>
    <row r="80" spans="1:5" x14ac:dyDescent="0.35">
      <c r="A80">
        <v>148</v>
      </c>
      <c r="B80" s="2">
        <v>0.33718181818181819</v>
      </c>
      <c r="C80" t="s">
        <v>54</v>
      </c>
      <c r="D80" s="2">
        <v>0.5750909090909091</v>
      </c>
      <c r="E80" t="s">
        <v>78</v>
      </c>
    </row>
    <row r="81" spans="1:5" x14ac:dyDescent="0.35">
      <c r="A81">
        <v>149</v>
      </c>
      <c r="B81" s="2">
        <v>0.33718181818181819</v>
      </c>
      <c r="C81" t="s">
        <v>54</v>
      </c>
      <c r="D81" s="2">
        <v>0.5750909090909091</v>
      </c>
      <c r="E81" t="s">
        <v>78</v>
      </c>
    </row>
    <row r="82" spans="1:5" x14ac:dyDescent="0.35">
      <c r="A82">
        <v>155</v>
      </c>
      <c r="B82" s="2">
        <v>0.33718181818181819</v>
      </c>
      <c r="C82" t="s">
        <v>54</v>
      </c>
      <c r="D82" s="2">
        <v>0.5750909090909091</v>
      </c>
      <c r="E82" t="s">
        <v>79</v>
      </c>
    </row>
    <row r="83" spans="1:5" x14ac:dyDescent="0.35">
      <c r="A83">
        <v>168</v>
      </c>
      <c r="B83" s="2">
        <v>0.33718181818181819</v>
      </c>
      <c r="C83" t="s">
        <v>54</v>
      </c>
      <c r="D83" s="2">
        <v>0.5750909090909091</v>
      </c>
      <c r="E83" t="s">
        <v>79</v>
      </c>
    </row>
    <row r="84" spans="1:5" x14ac:dyDescent="0.35">
      <c r="A84">
        <v>176</v>
      </c>
      <c r="B84" s="2">
        <v>0.46027272727272722</v>
      </c>
      <c r="C84" t="s">
        <v>58</v>
      </c>
      <c r="D84" s="2">
        <v>0.5750909090909091</v>
      </c>
      <c r="E84" t="s">
        <v>85</v>
      </c>
    </row>
    <row r="85" spans="1:5" x14ac:dyDescent="0.35">
      <c r="A85">
        <v>189</v>
      </c>
      <c r="B85" s="2">
        <v>0.33718181818181819</v>
      </c>
      <c r="C85" t="s">
        <v>54</v>
      </c>
      <c r="D85" s="2">
        <v>0.5750909090909091</v>
      </c>
      <c r="E85" t="s">
        <v>78</v>
      </c>
    </row>
    <row r="86" spans="1:5" x14ac:dyDescent="0.35">
      <c r="A86">
        <v>190</v>
      </c>
      <c r="B86" s="2">
        <v>0.33718181818181819</v>
      </c>
      <c r="C86" t="s">
        <v>54</v>
      </c>
      <c r="D86" s="2">
        <v>0.5750909090909091</v>
      </c>
      <c r="E86" t="s">
        <v>78</v>
      </c>
    </row>
    <row r="87" spans="1:5" x14ac:dyDescent="0.35">
      <c r="A87">
        <v>197</v>
      </c>
      <c r="B87" s="2">
        <v>0.33718181818181819</v>
      </c>
      <c r="C87" t="s">
        <v>54</v>
      </c>
      <c r="D87" s="2">
        <v>0.5750909090909091</v>
      </c>
      <c r="E87" t="s">
        <v>78</v>
      </c>
    </row>
    <row r="88" spans="1:5" x14ac:dyDescent="0.35">
      <c r="A88">
        <v>198</v>
      </c>
      <c r="B88" s="2">
        <v>0.33718181818181819</v>
      </c>
      <c r="C88" t="s">
        <v>54</v>
      </c>
      <c r="D88" s="2">
        <v>0.5750909090909091</v>
      </c>
      <c r="E88" t="s">
        <v>79</v>
      </c>
    </row>
    <row r="89" spans="1:5" x14ac:dyDescent="0.35">
      <c r="A89">
        <v>206</v>
      </c>
      <c r="B89" s="2">
        <v>0.51118181818181818</v>
      </c>
      <c r="C89" t="s">
        <v>53</v>
      </c>
      <c r="D89" s="2">
        <v>0.5750909090909091</v>
      </c>
      <c r="E89" t="s">
        <v>86</v>
      </c>
    </row>
    <row r="90" spans="1:5" x14ac:dyDescent="0.35">
      <c r="A90">
        <v>209</v>
      </c>
      <c r="B90" s="2">
        <v>0.33718181818181819</v>
      </c>
      <c r="C90" t="s">
        <v>54</v>
      </c>
      <c r="D90" s="2">
        <v>0.5750909090909091</v>
      </c>
      <c r="E90" t="s">
        <v>78</v>
      </c>
    </row>
    <row r="91" spans="1:5" x14ac:dyDescent="0.35">
      <c r="A91">
        <v>23</v>
      </c>
      <c r="B91" s="2">
        <v>0.33718181818181819</v>
      </c>
      <c r="C91" t="s">
        <v>54</v>
      </c>
      <c r="D91" s="2">
        <v>0.57518181818181813</v>
      </c>
      <c r="E91" t="s">
        <v>78</v>
      </c>
    </row>
    <row r="92" spans="1:5" x14ac:dyDescent="0.35">
      <c r="A92">
        <v>34</v>
      </c>
      <c r="B92" s="2">
        <v>0.33718181818181819</v>
      </c>
      <c r="C92" t="s">
        <v>54</v>
      </c>
      <c r="D92" s="2">
        <v>0.57518181818181813</v>
      </c>
      <c r="E92" t="s">
        <v>78</v>
      </c>
    </row>
    <row r="93" spans="1:5" x14ac:dyDescent="0.35">
      <c r="A93">
        <v>37</v>
      </c>
      <c r="B93" s="2">
        <v>0.33718181818181819</v>
      </c>
      <c r="C93" t="s">
        <v>54</v>
      </c>
      <c r="D93" s="2">
        <v>0.57518181818181813</v>
      </c>
      <c r="E93" t="s">
        <v>78</v>
      </c>
    </row>
    <row r="94" spans="1:5" x14ac:dyDescent="0.35">
      <c r="A94">
        <v>43</v>
      </c>
      <c r="B94" s="2">
        <v>0.33718181818181819</v>
      </c>
      <c r="C94" t="s">
        <v>54</v>
      </c>
      <c r="D94" s="2">
        <v>0.57518181818181813</v>
      </c>
      <c r="E94" t="s">
        <v>79</v>
      </c>
    </row>
    <row r="95" spans="1:5" x14ac:dyDescent="0.35">
      <c r="A95">
        <v>44</v>
      </c>
      <c r="B95" s="2">
        <v>0.33718181818181819</v>
      </c>
      <c r="C95" t="s">
        <v>54</v>
      </c>
      <c r="D95" s="2">
        <v>0.57518181818181813</v>
      </c>
      <c r="E95" t="s">
        <v>78</v>
      </c>
    </row>
    <row r="96" spans="1:5" x14ac:dyDescent="0.35">
      <c r="A96">
        <v>50</v>
      </c>
      <c r="B96" s="2">
        <v>0.33718181818181819</v>
      </c>
      <c r="C96" t="s">
        <v>54</v>
      </c>
      <c r="D96" s="2">
        <v>0.57518181818181813</v>
      </c>
      <c r="E96" t="s">
        <v>79</v>
      </c>
    </row>
    <row r="97" spans="1:5" x14ac:dyDescent="0.35">
      <c r="A97">
        <v>52</v>
      </c>
      <c r="B97" s="2">
        <v>0.33718181818181819</v>
      </c>
      <c r="C97" t="s">
        <v>54</v>
      </c>
      <c r="D97" s="2">
        <v>0.57518181818181813</v>
      </c>
      <c r="E97" t="s">
        <v>78</v>
      </c>
    </row>
    <row r="98" spans="1:5" x14ac:dyDescent="0.35">
      <c r="A98">
        <v>80</v>
      </c>
      <c r="B98" s="2">
        <v>0.33718181818181819</v>
      </c>
      <c r="C98" t="s">
        <v>54</v>
      </c>
      <c r="D98" s="2">
        <v>0.57518181818181813</v>
      </c>
      <c r="E98" t="s">
        <v>78</v>
      </c>
    </row>
    <row r="99" spans="1:5" x14ac:dyDescent="0.35">
      <c r="A99">
        <v>91</v>
      </c>
      <c r="B99" s="2">
        <v>0.33718181818181819</v>
      </c>
      <c r="C99" t="s">
        <v>54</v>
      </c>
      <c r="D99" s="2">
        <v>0.57518181818181813</v>
      </c>
      <c r="E99" t="s">
        <v>78</v>
      </c>
    </row>
    <row r="100" spans="1:5" x14ac:dyDescent="0.35">
      <c r="A100">
        <v>111</v>
      </c>
      <c r="B100" s="2">
        <v>0.51118181818181818</v>
      </c>
      <c r="C100" t="s">
        <v>53</v>
      </c>
      <c r="D100" s="2">
        <v>0.57518181818181813</v>
      </c>
      <c r="E100" t="s">
        <v>86</v>
      </c>
    </row>
    <row r="101" spans="1:5" x14ac:dyDescent="0.35">
      <c r="A101">
        <v>127</v>
      </c>
      <c r="B101" s="2">
        <v>0.46027272727272722</v>
      </c>
      <c r="C101" t="s">
        <v>58</v>
      </c>
      <c r="D101" s="2">
        <v>0.57518181818181813</v>
      </c>
      <c r="E101" t="s">
        <v>87</v>
      </c>
    </row>
    <row r="102" spans="1:5" x14ac:dyDescent="0.35">
      <c r="A102">
        <v>139</v>
      </c>
      <c r="B102" s="2">
        <v>0.33718181818181819</v>
      </c>
      <c r="C102" t="s">
        <v>54</v>
      </c>
      <c r="D102" s="2">
        <v>0.57518181818181813</v>
      </c>
      <c r="E102" t="s">
        <v>78</v>
      </c>
    </row>
    <row r="103" spans="1:5" x14ac:dyDescent="0.35">
      <c r="A103">
        <v>156</v>
      </c>
      <c r="B103" s="2">
        <v>0.33718181818181819</v>
      </c>
      <c r="C103" t="s">
        <v>54</v>
      </c>
      <c r="D103" s="2">
        <v>0.57518181818181813</v>
      </c>
      <c r="E103" t="s">
        <v>79</v>
      </c>
    </row>
    <row r="104" spans="1:5" x14ac:dyDescent="0.35">
      <c r="A104">
        <v>173</v>
      </c>
      <c r="B104" s="2">
        <v>0.33718181818181819</v>
      </c>
      <c r="C104" t="s">
        <v>54</v>
      </c>
      <c r="D104" s="2">
        <v>0.57518181818181813</v>
      </c>
      <c r="E104" t="s">
        <v>79</v>
      </c>
    </row>
    <row r="105" spans="1:5" x14ac:dyDescent="0.35">
      <c r="A105">
        <v>185</v>
      </c>
      <c r="B105" s="2">
        <v>0.51118181818181818</v>
      </c>
      <c r="C105" t="s">
        <v>53</v>
      </c>
      <c r="D105" s="2">
        <v>0.57518181818181813</v>
      </c>
      <c r="E105" t="s">
        <v>81</v>
      </c>
    </row>
    <row r="106" spans="1:5" x14ac:dyDescent="0.35">
      <c r="A106">
        <v>186</v>
      </c>
      <c r="B106" s="2">
        <v>0.33718181818181819</v>
      </c>
      <c r="C106" t="s">
        <v>54</v>
      </c>
      <c r="D106" s="2">
        <v>0.57518181818181813</v>
      </c>
      <c r="E106" t="s">
        <v>78</v>
      </c>
    </row>
    <row r="107" spans="1:5" x14ac:dyDescent="0.35">
      <c r="A107">
        <v>192</v>
      </c>
      <c r="B107" s="2">
        <v>0.33718181818181819</v>
      </c>
      <c r="C107" t="s">
        <v>54</v>
      </c>
      <c r="D107" s="2">
        <v>0.57518181818181813</v>
      </c>
      <c r="E107" t="s">
        <v>78</v>
      </c>
    </row>
    <row r="108" spans="1:5" x14ac:dyDescent="0.35">
      <c r="A108">
        <v>199</v>
      </c>
      <c r="B108" s="2">
        <v>0.51118181818181818</v>
      </c>
      <c r="C108" t="s">
        <v>53</v>
      </c>
      <c r="D108" s="2">
        <v>0.57518181818181813</v>
      </c>
      <c r="E108" t="s">
        <v>86</v>
      </c>
    </row>
    <row r="109" spans="1:5" x14ac:dyDescent="0.35">
      <c r="A109">
        <v>205</v>
      </c>
      <c r="B109" s="2">
        <v>0.51118181818181818</v>
      </c>
      <c r="C109" t="s">
        <v>53</v>
      </c>
      <c r="D109" s="2">
        <v>0.57518181818181813</v>
      </c>
      <c r="E109" t="s">
        <v>81</v>
      </c>
    </row>
    <row r="110" spans="1:5" x14ac:dyDescent="0.35">
      <c r="A110">
        <v>54</v>
      </c>
      <c r="B110" s="2">
        <v>0.33718181818181819</v>
      </c>
      <c r="C110" t="s">
        <v>54</v>
      </c>
      <c r="D110" s="2">
        <v>0.57527272727272727</v>
      </c>
      <c r="E110" t="s">
        <v>79</v>
      </c>
    </row>
    <row r="111" spans="1:5" x14ac:dyDescent="0.35">
      <c r="A111">
        <v>56</v>
      </c>
      <c r="B111" s="2">
        <v>0.33718181818181819</v>
      </c>
      <c r="C111" t="s">
        <v>54</v>
      </c>
      <c r="D111" s="2">
        <v>0.57527272727272727</v>
      </c>
      <c r="E111" t="s">
        <v>78</v>
      </c>
    </row>
    <row r="112" spans="1:5" x14ac:dyDescent="0.35">
      <c r="A112">
        <v>75</v>
      </c>
      <c r="B112" s="2">
        <v>0.33718181818181819</v>
      </c>
      <c r="C112" t="s">
        <v>54</v>
      </c>
      <c r="D112" s="2">
        <v>0.57527272727272727</v>
      </c>
      <c r="E112" t="s">
        <v>78</v>
      </c>
    </row>
    <row r="113" spans="1:5" x14ac:dyDescent="0.35">
      <c r="A113">
        <v>94</v>
      </c>
      <c r="B113" s="2">
        <v>0.33718181818181819</v>
      </c>
      <c r="C113" t="s">
        <v>54</v>
      </c>
      <c r="D113" s="2">
        <v>0.57527272727272727</v>
      </c>
      <c r="E113" t="s">
        <v>78</v>
      </c>
    </row>
    <row r="114" spans="1:5" x14ac:dyDescent="0.35">
      <c r="A114">
        <v>103</v>
      </c>
      <c r="B114" s="2">
        <v>0.62436363636363634</v>
      </c>
      <c r="C114" t="s">
        <v>53</v>
      </c>
      <c r="D114" s="2">
        <v>0.57527272727272727</v>
      </c>
      <c r="E114" t="s">
        <v>83</v>
      </c>
    </row>
    <row r="115" spans="1:5" x14ac:dyDescent="0.35">
      <c r="A115">
        <v>128</v>
      </c>
      <c r="B115" s="2">
        <v>0.33718181818181819</v>
      </c>
      <c r="C115" t="s">
        <v>54</v>
      </c>
      <c r="D115" s="2">
        <v>0.57527272727272727</v>
      </c>
      <c r="E115" t="s">
        <v>79</v>
      </c>
    </row>
    <row r="116" spans="1:5" x14ac:dyDescent="0.35">
      <c r="A116">
        <v>143</v>
      </c>
      <c r="B116" s="2">
        <v>0.33718181818181819</v>
      </c>
      <c r="C116" t="s">
        <v>54</v>
      </c>
      <c r="D116" s="2">
        <v>0.57527272727272727</v>
      </c>
      <c r="E116" t="s">
        <v>79</v>
      </c>
    </row>
    <row r="117" spans="1:5" x14ac:dyDescent="0.35">
      <c r="A117">
        <v>167</v>
      </c>
      <c r="B117" s="2">
        <v>0.33718181818181819</v>
      </c>
      <c r="C117" t="s">
        <v>54</v>
      </c>
      <c r="D117" s="2">
        <v>0.57527272727272727</v>
      </c>
      <c r="E117" t="s">
        <v>78</v>
      </c>
    </row>
    <row r="118" spans="1:5" x14ac:dyDescent="0.35">
      <c r="A118">
        <v>177</v>
      </c>
      <c r="B118" s="2">
        <v>0.33718181818181819</v>
      </c>
      <c r="C118" t="s">
        <v>54</v>
      </c>
      <c r="D118" s="2">
        <v>0.57527272727272727</v>
      </c>
      <c r="E118" t="s">
        <v>79</v>
      </c>
    </row>
    <row r="119" spans="1:5" x14ac:dyDescent="0.35">
      <c r="A119">
        <v>191</v>
      </c>
      <c r="B119" s="2">
        <v>0.33718181818181819</v>
      </c>
      <c r="C119" t="s">
        <v>54</v>
      </c>
      <c r="D119" s="2">
        <v>0.57527272727272727</v>
      </c>
      <c r="E119" t="s">
        <v>79</v>
      </c>
    </row>
    <row r="120" spans="1:5" x14ac:dyDescent="0.35">
      <c r="A120">
        <v>115</v>
      </c>
      <c r="B120" s="2">
        <v>0.374</v>
      </c>
      <c r="C120" t="s">
        <v>59</v>
      </c>
      <c r="D120" s="2">
        <v>0.59227272727272728</v>
      </c>
      <c r="E120" t="s">
        <v>88</v>
      </c>
    </row>
    <row r="121" spans="1:5" x14ac:dyDescent="0.35">
      <c r="A121">
        <v>152</v>
      </c>
      <c r="B121" s="2">
        <v>0.374</v>
      </c>
      <c r="C121" t="s">
        <v>59</v>
      </c>
      <c r="D121" s="2">
        <v>0.59227272727272728</v>
      </c>
      <c r="E121" t="s">
        <v>89</v>
      </c>
    </row>
    <row r="122" spans="1:5" x14ac:dyDescent="0.35">
      <c r="A122">
        <v>162</v>
      </c>
      <c r="B122" s="2">
        <v>0.38627272727272727</v>
      </c>
      <c r="C122" t="s">
        <v>60</v>
      </c>
      <c r="D122" s="2">
        <v>0.59227272727272728</v>
      </c>
      <c r="E122" t="s">
        <v>90</v>
      </c>
    </row>
    <row r="123" spans="1:5" x14ac:dyDescent="0.35">
      <c r="A123">
        <v>165</v>
      </c>
      <c r="B123" s="2">
        <v>0.374</v>
      </c>
      <c r="C123" t="s">
        <v>59</v>
      </c>
      <c r="D123" s="2">
        <v>0.59227272727272728</v>
      </c>
      <c r="E123" t="s">
        <v>88</v>
      </c>
    </row>
    <row r="124" spans="1:5" x14ac:dyDescent="0.35">
      <c r="A124">
        <v>193</v>
      </c>
      <c r="B124" s="2">
        <v>0.374</v>
      </c>
      <c r="C124" t="s">
        <v>59</v>
      </c>
      <c r="D124" s="2">
        <v>0.59227272727272728</v>
      </c>
      <c r="E124" t="s">
        <v>89</v>
      </c>
    </row>
    <row r="125" spans="1:5" x14ac:dyDescent="0.35">
      <c r="A125">
        <v>77</v>
      </c>
      <c r="B125" s="2">
        <v>0.38627272727272727</v>
      </c>
      <c r="C125" t="s">
        <v>60</v>
      </c>
      <c r="D125" s="2">
        <v>0.59236363636363631</v>
      </c>
      <c r="E125" t="s">
        <v>90</v>
      </c>
    </row>
    <row r="126" spans="1:5" x14ac:dyDescent="0.35">
      <c r="A126">
        <v>84</v>
      </c>
      <c r="B126" s="2">
        <v>0.374</v>
      </c>
      <c r="C126" t="s">
        <v>59</v>
      </c>
      <c r="D126" s="2">
        <v>0.59236363636363631</v>
      </c>
      <c r="E126" t="s">
        <v>88</v>
      </c>
    </row>
    <row r="127" spans="1:5" x14ac:dyDescent="0.35">
      <c r="A127">
        <v>166</v>
      </c>
      <c r="B127" s="2">
        <v>0.374</v>
      </c>
      <c r="C127" t="s">
        <v>59</v>
      </c>
      <c r="D127" s="2">
        <v>0.59236363636363631</v>
      </c>
      <c r="E127" t="s">
        <v>88</v>
      </c>
    </row>
    <row r="128" spans="1:5" x14ac:dyDescent="0.35">
      <c r="A128">
        <v>174</v>
      </c>
      <c r="B128" s="2">
        <v>0.374</v>
      </c>
      <c r="C128" t="s">
        <v>59</v>
      </c>
      <c r="D128" s="2">
        <v>0.59236363636363631</v>
      </c>
      <c r="E128" t="s">
        <v>88</v>
      </c>
    </row>
    <row r="129" spans="1:5" x14ac:dyDescent="0.35">
      <c r="A129">
        <v>15</v>
      </c>
      <c r="B129" s="2">
        <v>0.374</v>
      </c>
      <c r="C129" t="s">
        <v>59</v>
      </c>
      <c r="D129" s="2">
        <v>0.59245454545454546</v>
      </c>
      <c r="E129" t="s">
        <v>88</v>
      </c>
    </row>
    <row r="130" spans="1:5" x14ac:dyDescent="0.35">
      <c r="A130">
        <v>96</v>
      </c>
      <c r="B130" s="2">
        <v>0.38627272727272727</v>
      </c>
      <c r="C130" t="s">
        <v>59</v>
      </c>
      <c r="D130" s="2">
        <v>0.59245454545454546</v>
      </c>
      <c r="E130" t="s">
        <v>91</v>
      </c>
    </row>
    <row r="131" spans="1:5" x14ac:dyDescent="0.35">
      <c r="A131">
        <v>158</v>
      </c>
      <c r="B131" s="2">
        <v>0.374</v>
      </c>
      <c r="C131" t="s">
        <v>59</v>
      </c>
      <c r="D131" s="2">
        <v>0.59245454545454546</v>
      </c>
      <c r="E131" t="s">
        <v>89</v>
      </c>
    </row>
    <row r="132" spans="1:5" x14ac:dyDescent="0.35">
      <c r="A132">
        <v>88</v>
      </c>
      <c r="B132" s="2">
        <v>0.36781818181818182</v>
      </c>
      <c r="C132" t="s">
        <v>61</v>
      </c>
      <c r="D132" s="2">
        <v>0.59872727272727277</v>
      </c>
      <c r="E132" t="s">
        <v>92</v>
      </c>
    </row>
    <row r="133" spans="1:5" x14ac:dyDescent="0.35">
      <c r="A133">
        <v>119</v>
      </c>
      <c r="B133" s="2">
        <v>0.36781818181818182</v>
      </c>
      <c r="C133" t="s">
        <v>61</v>
      </c>
      <c r="D133" s="2">
        <v>0.59872727272727277</v>
      </c>
      <c r="E133" t="s">
        <v>92</v>
      </c>
    </row>
    <row r="134" spans="1:5" x14ac:dyDescent="0.35">
      <c r="A134">
        <v>14</v>
      </c>
      <c r="B134" s="2">
        <v>0.36781818181818182</v>
      </c>
      <c r="C134" t="s">
        <v>61</v>
      </c>
      <c r="D134" s="2">
        <v>0.59881818181818181</v>
      </c>
      <c r="E134" t="s">
        <v>92</v>
      </c>
    </row>
    <row r="135" spans="1:5" x14ac:dyDescent="0.35">
      <c r="A135">
        <v>21</v>
      </c>
      <c r="B135" s="2">
        <v>0.36781818181818182</v>
      </c>
      <c r="C135" t="s">
        <v>61</v>
      </c>
      <c r="D135" s="2">
        <v>0.59890909090909095</v>
      </c>
      <c r="E135" t="s">
        <v>92</v>
      </c>
    </row>
    <row r="136" spans="1:5" x14ac:dyDescent="0.35">
      <c r="A136">
        <v>214</v>
      </c>
      <c r="B136" s="2">
        <v>0.39236363636363636</v>
      </c>
      <c r="C136" t="s">
        <v>61</v>
      </c>
      <c r="D136" s="2">
        <v>0.59890909090909095</v>
      </c>
      <c r="E136" t="s">
        <v>93</v>
      </c>
    </row>
    <row r="137" spans="1:5" x14ac:dyDescent="0.35">
      <c r="A137">
        <v>89</v>
      </c>
      <c r="B137" s="2">
        <v>0.36781818181818182</v>
      </c>
      <c r="C137" t="s">
        <v>61</v>
      </c>
      <c r="D137" s="2">
        <v>0.59900000000000009</v>
      </c>
      <c r="E137" t="s">
        <v>92</v>
      </c>
    </row>
    <row r="138" spans="1:5" x14ac:dyDescent="0.35">
      <c r="A138">
        <v>76</v>
      </c>
      <c r="B138" s="2">
        <v>0.38045454545454543</v>
      </c>
      <c r="C138" t="s">
        <v>62</v>
      </c>
      <c r="D138" s="2">
        <v>0.59945454545454546</v>
      </c>
      <c r="E138" t="s">
        <v>94</v>
      </c>
    </row>
    <row r="139" spans="1:5" x14ac:dyDescent="0.35">
      <c r="A139">
        <v>38</v>
      </c>
      <c r="B139" s="2">
        <v>0.38045454545454543</v>
      </c>
      <c r="C139" t="s">
        <v>62</v>
      </c>
      <c r="D139" s="2">
        <v>0.59963636363636363</v>
      </c>
      <c r="E139" t="s">
        <v>94</v>
      </c>
    </row>
    <row r="140" spans="1:5" x14ac:dyDescent="0.35">
      <c r="A140">
        <v>46</v>
      </c>
      <c r="B140" s="2">
        <v>1.1769999999999998</v>
      </c>
      <c r="C140" t="s">
        <v>63</v>
      </c>
      <c r="D140" s="2">
        <v>0.60254545454545461</v>
      </c>
      <c r="E140" t="s">
        <v>95</v>
      </c>
    </row>
    <row r="141" spans="1:5" x14ac:dyDescent="0.35">
      <c r="A141">
        <v>55</v>
      </c>
      <c r="B141" s="2">
        <v>0.38045454545454543</v>
      </c>
      <c r="C141" t="s">
        <v>59</v>
      </c>
      <c r="D141" s="2">
        <v>0.60254545454545461</v>
      </c>
      <c r="E141" t="s">
        <v>96</v>
      </c>
    </row>
    <row r="142" spans="1:5" x14ac:dyDescent="0.35">
      <c r="A142">
        <v>60</v>
      </c>
      <c r="B142" s="2">
        <v>0.42181818181818181</v>
      </c>
      <c r="C142" t="s">
        <v>60</v>
      </c>
      <c r="D142" s="2">
        <v>0.60263636363636364</v>
      </c>
      <c r="E142" t="s">
        <v>97</v>
      </c>
    </row>
    <row r="143" spans="1:5" x14ac:dyDescent="0.35">
      <c r="A143">
        <v>132</v>
      </c>
      <c r="B143" s="2">
        <v>0.38045454545454543</v>
      </c>
      <c r="C143" t="s">
        <v>59</v>
      </c>
      <c r="D143" s="2">
        <v>0.60263636363636364</v>
      </c>
      <c r="E143" t="s">
        <v>96</v>
      </c>
    </row>
    <row r="144" spans="1:5" x14ac:dyDescent="0.35">
      <c r="A144">
        <v>133</v>
      </c>
      <c r="B144" s="2">
        <v>0.38045454545454543</v>
      </c>
      <c r="C144" t="s">
        <v>59</v>
      </c>
      <c r="D144" s="2">
        <v>0.60263636363636364</v>
      </c>
      <c r="E144" t="s">
        <v>96</v>
      </c>
    </row>
    <row r="145" spans="1:5" x14ac:dyDescent="0.35">
      <c r="A145">
        <v>160</v>
      </c>
      <c r="B145" s="2">
        <v>0.38154545454545458</v>
      </c>
      <c r="C145" t="s">
        <v>59</v>
      </c>
      <c r="D145" s="2">
        <v>0.61172727272727279</v>
      </c>
      <c r="E145" t="s">
        <v>98</v>
      </c>
    </row>
    <row r="146" spans="1:5" x14ac:dyDescent="0.35">
      <c r="A146">
        <v>161</v>
      </c>
      <c r="B146" s="2">
        <v>0.38154545454545458</v>
      </c>
      <c r="C146" t="s">
        <v>59</v>
      </c>
      <c r="D146" s="2">
        <v>0.61181818181818182</v>
      </c>
      <c r="E146" t="s">
        <v>98</v>
      </c>
    </row>
    <row r="147" spans="1:5" x14ac:dyDescent="0.35">
      <c r="A147">
        <v>213</v>
      </c>
      <c r="B147" s="2">
        <v>0.38154545454545458</v>
      </c>
      <c r="C147" t="s">
        <v>59</v>
      </c>
      <c r="D147" s="2">
        <v>0.61181818181818182</v>
      </c>
      <c r="E147" t="s">
        <v>98</v>
      </c>
    </row>
    <row r="148" spans="1:5" x14ac:dyDescent="0.35">
      <c r="A148">
        <v>7</v>
      </c>
      <c r="B148" s="2">
        <v>0.46227272727272728</v>
      </c>
      <c r="C148" t="s">
        <v>64</v>
      </c>
      <c r="D148" s="2">
        <v>0.61190909090909085</v>
      </c>
      <c r="E148" t="s">
        <v>99</v>
      </c>
    </row>
    <row r="149" spans="1:5" x14ac:dyDescent="0.35">
      <c r="A149">
        <v>135</v>
      </c>
      <c r="B149" s="2">
        <v>0.38154545454545458</v>
      </c>
      <c r="C149" t="s">
        <v>59</v>
      </c>
      <c r="D149" s="2">
        <v>0.61199999999999999</v>
      </c>
      <c r="E149" t="s">
        <v>98</v>
      </c>
    </row>
    <row r="150" spans="1:5" x14ac:dyDescent="0.35">
      <c r="A150">
        <v>78</v>
      </c>
      <c r="B150" s="2">
        <v>0.38154545454545458</v>
      </c>
      <c r="C150" t="s">
        <v>59</v>
      </c>
      <c r="D150" s="2">
        <v>0.61209090909090902</v>
      </c>
      <c r="E150" t="s">
        <v>100</v>
      </c>
    </row>
    <row r="151" spans="1:5" x14ac:dyDescent="0.35">
      <c r="A151">
        <v>145</v>
      </c>
      <c r="B151" s="2">
        <v>0.38781818181818184</v>
      </c>
      <c r="C151" t="s">
        <v>59</v>
      </c>
      <c r="D151" s="2">
        <v>0.61563636363636365</v>
      </c>
      <c r="E151" t="s">
        <v>101</v>
      </c>
    </row>
    <row r="152" spans="1:5" x14ac:dyDescent="0.35">
      <c r="A152">
        <v>175</v>
      </c>
      <c r="B152" s="2">
        <v>0.38781818181818184</v>
      </c>
      <c r="C152" t="s">
        <v>59</v>
      </c>
      <c r="D152" s="2">
        <v>0.61581818181818182</v>
      </c>
      <c r="E152" t="s">
        <v>102</v>
      </c>
    </row>
    <row r="153" spans="1:5" x14ac:dyDescent="0.35">
      <c r="A153">
        <v>61</v>
      </c>
      <c r="B153" s="2">
        <v>0.5948181818181818</v>
      </c>
      <c r="C153" t="s">
        <v>65</v>
      </c>
      <c r="D153" s="2">
        <v>0.61590909090909096</v>
      </c>
      <c r="E153" t="s">
        <v>103</v>
      </c>
    </row>
    <row r="154" spans="1:5" x14ac:dyDescent="0.35">
      <c r="A154">
        <v>8</v>
      </c>
      <c r="B154" s="2">
        <v>0.41918181818181816</v>
      </c>
      <c r="C154" t="s">
        <v>59</v>
      </c>
      <c r="D154" s="2">
        <v>0.61599999999999999</v>
      </c>
      <c r="E154" t="s">
        <v>104</v>
      </c>
    </row>
    <row r="155" spans="1:5" x14ac:dyDescent="0.35">
      <c r="A155">
        <v>18</v>
      </c>
      <c r="B155" s="2">
        <v>0.38781818181818184</v>
      </c>
      <c r="C155" t="s">
        <v>59</v>
      </c>
      <c r="D155" s="2">
        <v>0.61599999999999999</v>
      </c>
      <c r="E155" t="s">
        <v>101</v>
      </c>
    </row>
    <row r="156" spans="1:5" x14ac:dyDescent="0.35">
      <c r="A156">
        <v>65</v>
      </c>
      <c r="B156" s="2">
        <v>0.38781818181818184</v>
      </c>
      <c r="C156" t="s">
        <v>59</v>
      </c>
      <c r="D156" s="2">
        <v>0.61599999999999999</v>
      </c>
      <c r="E156" t="s">
        <v>101</v>
      </c>
    </row>
    <row r="157" spans="1:5" x14ac:dyDescent="0.35">
      <c r="A157">
        <v>195</v>
      </c>
      <c r="B157" s="2">
        <v>0.38781818181818184</v>
      </c>
      <c r="C157" t="s">
        <v>59</v>
      </c>
      <c r="D157" s="2">
        <v>0.61599999999999999</v>
      </c>
      <c r="E157" t="s">
        <v>102</v>
      </c>
    </row>
    <row r="158" spans="1:5" x14ac:dyDescent="0.35">
      <c r="A158">
        <v>3</v>
      </c>
      <c r="B158" s="2">
        <v>0.50181818181818183</v>
      </c>
      <c r="C158" t="s">
        <v>66</v>
      </c>
      <c r="D158" s="2">
        <v>0.61609090909090913</v>
      </c>
      <c r="E158" t="s">
        <v>105</v>
      </c>
    </row>
    <row r="159" spans="1:5" x14ac:dyDescent="0.35">
      <c r="A159">
        <v>35</v>
      </c>
      <c r="B159" s="2">
        <v>0.38781818181818184</v>
      </c>
      <c r="C159" t="s">
        <v>59</v>
      </c>
      <c r="D159" s="2">
        <v>0.61618181818181816</v>
      </c>
      <c r="E159" t="s">
        <v>102</v>
      </c>
    </row>
    <row r="160" spans="1:5" x14ac:dyDescent="0.35">
      <c r="A160">
        <v>196</v>
      </c>
      <c r="B160" s="2">
        <v>0.38781818181818184</v>
      </c>
      <c r="C160" t="s">
        <v>59</v>
      </c>
      <c r="D160" s="2">
        <v>0.61618181818181816</v>
      </c>
      <c r="E160" t="s">
        <v>102</v>
      </c>
    </row>
    <row r="161" spans="1:5" x14ac:dyDescent="0.35">
      <c r="A161">
        <v>136</v>
      </c>
      <c r="B161" s="2">
        <v>0.39381818181818179</v>
      </c>
      <c r="C161" t="s">
        <v>67</v>
      </c>
      <c r="D161" s="2">
        <v>0.61736363636363645</v>
      </c>
      <c r="E161" t="s">
        <v>106</v>
      </c>
    </row>
    <row r="162" spans="1:5" x14ac:dyDescent="0.35">
      <c r="A162">
        <v>1</v>
      </c>
      <c r="B162" s="2">
        <v>0.40527272727272728</v>
      </c>
      <c r="C162" t="s">
        <v>68</v>
      </c>
      <c r="D162" s="2">
        <v>0.62990909090909097</v>
      </c>
      <c r="E162" t="s">
        <v>107</v>
      </c>
    </row>
    <row r="163" spans="1:5" x14ac:dyDescent="0.35">
      <c r="A163">
        <v>2</v>
      </c>
      <c r="B163" s="2">
        <v>0.41300000000000003</v>
      </c>
      <c r="C163" t="s">
        <v>68</v>
      </c>
      <c r="D163" s="2">
        <v>0.63072727272727269</v>
      </c>
      <c r="E163" t="s">
        <v>108</v>
      </c>
    </row>
    <row r="164" spans="1:5" x14ac:dyDescent="0.35">
      <c r="A164">
        <v>39</v>
      </c>
      <c r="B164" s="2">
        <v>0.4078181818181818</v>
      </c>
      <c r="C164" t="s">
        <v>59</v>
      </c>
      <c r="D164" s="2">
        <v>0.63190909090909086</v>
      </c>
      <c r="E164" t="s">
        <v>109</v>
      </c>
    </row>
    <row r="165" spans="1:5" x14ac:dyDescent="0.35">
      <c r="A165">
        <v>99</v>
      </c>
      <c r="B165" s="2">
        <v>0.41172727272727272</v>
      </c>
      <c r="C165" t="s">
        <v>69</v>
      </c>
      <c r="D165" s="2">
        <v>0.63190909090909086</v>
      </c>
      <c r="E165" t="s">
        <v>110</v>
      </c>
    </row>
    <row r="166" spans="1:5" x14ac:dyDescent="0.35">
      <c r="A166">
        <v>100</v>
      </c>
      <c r="B166" s="2">
        <v>0.41172727272727272</v>
      </c>
      <c r="C166" t="s">
        <v>69</v>
      </c>
      <c r="D166" s="2">
        <v>0.63190909090909086</v>
      </c>
      <c r="E166" t="s">
        <v>111</v>
      </c>
    </row>
    <row r="167" spans="1:5" x14ac:dyDescent="0.35">
      <c r="A167">
        <v>104</v>
      </c>
      <c r="B167" s="2">
        <v>0.4078181818181818</v>
      </c>
      <c r="C167" t="s">
        <v>59</v>
      </c>
      <c r="D167" s="2">
        <v>0.63190909090909086</v>
      </c>
      <c r="E167" t="s">
        <v>109</v>
      </c>
    </row>
    <row r="168" spans="1:5" x14ac:dyDescent="0.35">
      <c r="A168">
        <v>114</v>
      </c>
      <c r="B168" s="2">
        <v>0.4078181818181818</v>
      </c>
      <c r="C168" t="s">
        <v>59</v>
      </c>
      <c r="D168" s="2">
        <v>0.63190909090909086</v>
      </c>
      <c r="E168" t="s">
        <v>109</v>
      </c>
    </row>
    <row r="169" spans="1:5" x14ac:dyDescent="0.35">
      <c r="A169">
        <v>51</v>
      </c>
      <c r="B169" s="2">
        <v>0.4078181818181818</v>
      </c>
      <c r="C169" t="s">
        <v>59</v>
      </c>
      <c r="D169" s="2">
        <v>0.63200000000000001</v>
      </c>
      <c r="E169" t="s">
        <v>109</v>
      </c>
    </row>
    <row r="170" spans="1:5" x14ac:dyDescent="0.35">
      <c r="A170">
        <v>129</v>
      </c>
      <c r="B170" s="2">
        <v>0.4078181818181818</v>
      </c>
      <c r="C170" t="s">
        <v>59</v>
      </c>
      <c r="D170" s="2">
        <v>0.63200000000000001</v>
      </c>
      <c r="E170" t="s">
        <v>109</v>
      </c>
    </row>
    <row r="171" spans="1:5" x14ac:dyDescent="0.35">
      <c r="A171">
        <v>131</v>
      </c>
      <c r="B171" s="2">
        <v>0.4078181818181818</v>
      </c>
      <c r="C171" t="s">
        <v>59</v>
      </c>
      <c r="D171" s="2">
        <v>0.63200000000000001</v>
      </c>
      <c r="E171" t="s">
        <v>109</v>
      </c>
    </row>
    <row r="172" spans="1:5" x14ac:dyDescent="0.35">
      <c r="A172">
        <v>201</v>
      </c>
      <c r="B172" s="2">
        <v>0.4078181818181818</v>
      </c>
      <c r="C172" t="s">
        <v>59</v>
      </c>
      <c r="D172" s="2">
        <v>0.63200000000000001</v>
      </c>
      <c r="E172" t="s">
        <v>109</v>
      </c>
    </row>
    <row r="173" spans="1:5" x14ac:dyDescent="0.35">
      <c r="A173">
        <v>68</v>
      </c>
      <c r="B173" s="2">
        <v>0.46227272727272728</v>
      </c>
      <c r="C173" t="s">
        <v>55</v>
      </c>
      <c r="D173" s="2">
        <v>0.63818181818181818</v>
      </c>
      <c r="E173" t="s">
        <v>112</v>
      </c>
    </row>
    <row r="174" spans="1:5" x14ac:dyDescent="0.35">
      <c r="A174">
        <v>11</v>
      </c>
      <c r="B174" s="2">
        <v>0.43536363636363634</v>
      </c>
      <c r="C174" t="s">
        <v>70</v>
      </c>
      <c r="D174" s="2">
        <v>0.65127272727272723</v>
      </c>
      <c r="E174" t="s">
        <v>113</v>
      </c>
    </row>
    <row r="175" spans="1:5" x14ac:dyDescent="0.35">
      <c r="A175">
        <v>164</v>
      </c>
      <c r="B175" s="2">
        <v>0.46763636363636363</v>
      </c>
      <c r="C175" t="s">
        <v>71</v>
      </c>
      <c r="D175" s="2">
        <v>0.67881818181818177</v>
      </c>
      <c r="E17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Individuals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Poletaev</dc:creator>
  <cp:lastModifiedBy>Daniil Poletaev</cp:lastModifiedBy>
  <dcterms:created xsi:type="dcterms:W3CDTF">2026-03-13T12:19:51Z</dcterms:created>
  <dcterms:modified xsi:type="dcterms:W3CDTF">2026-03-17T14:54:27Z</dcterms:modified>
</cp:coreProperties>
</file>